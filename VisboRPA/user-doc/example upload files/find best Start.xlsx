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VISBO Demo Systeme\KMU Quick Start\RPA - robot process automation\"/>
    </mc:Choice>
  </mc:AlternateContent>
  <xr:revisionPtr revIDLastSave="0" documentId="13_ncr:1_{ADB22580-5CB8-45AB-87EE-B86AD1DC4E2B}" xr6:coauthVersionLast="47" xr6:coauthVersionMax="47" xr10:uidLastSave="{00000000-0000-0000-0000-000000000000}"/>
  <bookViews>
    <workbookView xWindow="28680" yWindow="-120" windowWidth="29040" windowHeight="15720" xr2:uid="{3821735C-B9B3-4AAB-8976-95EBAAE3B36D}"/>
  </bookViews>
  <sheets>
    <sheet name="Find Best Start" sheetId="1" r:id="rId1"/>
    <sheet name="Parameters" sheetId="2" r:id="rId2"/>
    <sheet name="Priorities" sheetId="4" r:id="rId3"/>
  </sheets>
  <definedNames>
    <definedName name="_xlnm._FilterDatabase" localSheetId="0" hidden="1">'Find Best Start'!$A$1:$D$1</definedName>
    <definedName name="_xlnm._FilterDatabase" localSheetId="2" hidden="1">Priorities!$A$1:$H$16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" l="1"/>
  <c r="E8" i="4"/>
  <c r="E7" i="4"/>
  <c r="E15" i="4"/>
  <c r="E14" i="4"/>
  <c r="E13" i="4"/>
  <c r="E12" i="4"/>
  <c r="E11" i="4"/>
  <c r="E10" i="4"/>
  <c r="E9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<sst xmlns="http://schemas.openxmlformats.org/spreadsheetml/2006/main" count="79" uniqueCount="52">
  <si>
    <t>Variant</t>
  </si>
  <si>
    <t xml:space="preserve">Shortest 
Duration </t>
  </si>
  <si>
    <t>earliest 
Start</t>
  </si>
  <si>
    <t xml:space="preserve">Latest 
End </t>
  </si>
  <si>
    <t>Longest 
Duration</t>
  </si>
  <si>
    <t xml:space="preserve">Use Portfolio Name </t>
  </si>
  <si>
    <t>Use Portfolio Variant-Name</t>
  </si>
  <si>
    <t>Default Latest End</t>
  </si>
  <si>
    <t>Default Delta in Days</t>
  </si>
  <si>
    <t xml:space="preserve">Use Project Variant Name </t>
  </si>
  <si>
    <t>Development</t>
  </si>
  <si>
    <t>Finance and Admin</t>
  </si>
  <si>
    <t>Management</t>
  </si>
  <si>
    <t>Production</t>
  </si>
  <si>
    <t>Purchasing</t>
  </si>
  <si>
    <t>Sales and Marketing</t>
  </si>
  <si>
    <t>Name</t>
  </si>
  <si>
    <t>plus proposed</t>
  </si>
  <si>
    <t>Quality</t>
  </si>
  <si>
    <t>Project Name</t>
  </si>
  <si>
    <t>KPI Strategic Fit</t>
  </si>
  <si>
    <t>KPI Realization Risk</t>
  </si>
  <si>
    <t>Business Case</t>
  </si>
  <si>
    <t>Revenue/Benefit Total (Current Plan)</t>
  </si>
  <si>
    <t>Total Cost (Current Plan)</t>
  </si>
  <si>
    <t>CS-Make-or-Buy</t>
  </si>
  <si>
    <t>DI-Introduction of ERP system</t>
  </si>
  <si>
    <t>CS-Supplier-Portal</t>
  </si>
  <si>
    <t>CS-Contract-Review</t>
  </si>
  <si>
    <t>DI-Automation of simple processes</t>
  </si>
  <si>
    <t>GO-Internal Controls</t>
  </si>
  <si>
    <t>GO-ESG reporting</t>
  </si>
  <si>
    <t>CY-Incident-Response-Plan</t>
  </si>
  <si>
    <t>AI-Data quality and feedback system</t>
  </si>
  <si>
    <t>SO-Employee health and safety</t>
  </si>
  <si>
    <t>GO-Compliance policies</t>
  </si>
  <si>
    <t>CY-cybersecurity training</t>
  </si>
  <si>
    <t>AI-Categorization of AI systems</t>
  </si>
  <si>
    <t>EN-Energy efficiency</t>
  </si>
  <si>
    <t>EN-Waste management</t>
  </si>
  <si>
    <t>Business Unit</t>
  </si>
  <si>
    <t>Project-Nr</t>
  </si>
  <si>
    <t>Cost Savings</t>
  </si>
  <si>
    <t>Digital Transformation</t>
  </si>
  <si>
    <t>Compliance</t>
  </si>
  <si>
    <t>IT DevOPS</t>
  </si>
  <si>
    <t>best Start</t>
  </si>
  <si>
    <t>active Projects</t>
  </si>
  <si>
    <t>OverloadAllowedMonth</t>
  </si>
  <si>
    <t>OverloadAllowedTotal</t>
  </si>
  <si>
    <t>OverloadCalculatedWithoutConsiderationOf</t>
  </si>
  <si>
    <t>OverloadCalculatedUnderConsiderationOf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</si>
</sst>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2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14" fontId="0" fillId="0" borderId="0" xfId="0" applyNumberFormat="1"/>
    <xf numFmtId="9" fontId="0" fillId="0" borderId="0" xfId="0" applyNumberFormat="1" applyAlignment="1">
      <alignment horizontal="center"/>
    </xf>
    <xf numFmtId="9" fontId="0" fillId="0" borderId="0" xfId="0" applyNumberFormat="1"/>
    <xf numFmtId="0" fontId="0" fillId="3" borderId="0" xfId="0" applyFill="1"/>
    <xf numFmtId="0" fontId="0" fillId="4" borderId="0" xfId="0" applyFill="1"/>
    <xf numFmtId="2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5" borderId="0" xfId="0" applyFill="1"/>
  </cellXfs>
  <cellStyles count="3">
    <cellStyle name="Normal 3" xfId="1" xr:uid="{87BF0AF3-43C1-432B-9CC1-F1068930C300}"/>
    <cellStyle name="Standard" xfId="0" builtinId="0"/>
    <cellStyle name="Standard 2" xfId="2" xr:uid="{BE5D094A-D122-4358-993B-82731AC8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D3B0-44E8-4A70-AAF3-B2D06CB2F524}">
  <dimension ref="A1:F37"/>
  <sheetViews>
    <sheetView tabSelected="1" defaultGridColor="0" colorId="22" workbookViewId="0">
      <selection activeCell="A2" sqref="A2:A16"/>
    </sheetView>
  </sheetViews>
  <sheetFormatPr baseColWidth="10" defaultRowHeight="14.4" x14ac:dyDescent="0.3"/>
  <cols>
    <col min="1" max="1" width="54.6640625" customWidth="1"/>
    <col min="2" max="2" width="19.33203125" customWidth="1"/>
    <col min="3" max="4" width="18.6640625" customWidth="1"/>
    <col min="5" max="5" width="12.5546875" customWidth="1"/>
    <col min="6" max="6" width="10.33203125" customWidth="1"/>
    <col min="7" max="7" width="16.33203125" customWidth="1"/>
    <col min="8" max="8" width="11.44140625" customWidth="1"/>
    <col min="9" max="9" width="18.44140625" customWidth="1"/>
    <col min="10" max="10" width="21" customWidth="1"/>
    <col min="11" max="21" width="11.44140625" customWidth="1"/>
  </cols>
  <sheetData>
    <row r="1" spans="1:6" s="1" customFormat="1" ht="45" customHeight="1" x14ac:dyDescent="0.3">
      <c r="A1" s="1" t="s">
        <v>16</v>
      </c>
      <c r="B1" s="1" t="s">
        <v>0</v>
      </c>
      <c r="C1" s="2" t="s">
        <v>2</v>
      </c>
      <c r="D1" s="2" t="s">
        <v>3</v>
      </c>
      <c r="E1" s="2" t="s">
        <v>1</v>
      </c>
      <c r="F1" s="2" t="s">
        <v>4</v>
      </c>
    </row>
    <row r="2" spans="1:6" x14ac:dyDescent="0.3">
      <c r="A2" t="s">
        <v>25</v>
      </c>
      <c r="C2" s="3">
        <v>46054</v>
      </c>
      <c r="D2" s="10">
        <v>46387</v>
      </c>
      <c r="E2" s="4"/>
    </row>
    <row r="3" spans="1:6" x14ac:dyDescent="0.3">
      <c r="A3" t="s">
        <v>26</v>
      </c>
      <c r="C3" s="3">
        <v>46054</v>
      </c>
      <c r="D3" s="10">
        <v>46387</v>
      </c>
      <c r="E3" s="4"/>
    </row>
    <row r="4" spans="1:6" x14ac:dyDescent="0.3">
      <c r="A4" t="s">
        <v>28</v>
      </c>
      <c r="C4" s="3">
        <v>46054</v>
      </c>
      <c r="D4" s="10">
        <v>46387</v>
      </c>
      <c r="E4" s="4"/>
    </row>
    <row r="5" spans="1:6" x14ac:dyDescent="0.3">
      <c r="A5" t="s">
        <v>27</v>
      </c>
      <c r="C5" s="3">
        <v>46054</v>
      </c>
      <c r="D5" s="10">
        <v>46387</v>
      </c>
      <c r="E5" s="4"/>
    </row>
    <row r="6" spans="1:6" x14ac:dyDescent="0.3">
      <c r="A6" t="s">
        <v>29</v>
      </c>
      <c r="C6" s="3">
        <v>46054</v>
      </c>
      <c r="D6" s="10">
        <v>46387</v>
      </c>
    </row>
    <row r="7" spans="1:6" x14ac:dyDescent="0.3">
      <c r="A7" t="s">
        <v>38</v>
      </c>
      <c r="C7" s="3">
        <v>46054</v>
      </c>
      <c r="D7" s="10">
        <v>46387</v>
      </c>
    </row>
    <row r="8" spans="1:6" x14ac:dyDescent="0.3">
      <c r="A8" t="s">
        <v>39</v>
      </c>
      <c r="C8" s="3">
        <v>46054</v>
      </c>
      <c r="D8" s="10">
        <v>46387</v>
      </c>
    </row>
    <row r="9" spans="1:6" x14ac:dyDescent="0.3">
      <c r="A9" t="s">
        <v>30</v>
      </c>
      <c r="C9" s="3">
        <v>46054</v>
      </c>
      <c r="D9" s="10">
        <v>46387</v>
      </c>
    </row>
    <row r="10" spans="1:6" x14ac:dyDescent="0.3">
      <c r="A10" t="s">
        <v>31</v>
      </c>
      <c r="C10" s="3">
        <v>46054</v>
      </c>
      <c r="D10" s="10">
        <v>46387</v>
      </c>
    </row>
    <row r="11" spans="1:6" x14ac:dyDescent="0.3">
      <c r="A11" t="s">
        <v>32</v>
      </c>
      <c r="C11" s="3">
        <v>46054</v>
      </c>
      <c r="D11" s="10">
        <v>46387</v>
      </c>
    </row>
    <row r="12" spans="1:6" x14ac:dyDescent="0.3">
      <c r="A12" t="s">
        <v>34</v>
      </c>
      <c r="C12" s="3">
        <v>46054</v>
      </c>
      <c r="D12" s="10">
        <v>46387</v>
      </c>
    </row>
    <row r="13" spans="1:6" x14ac:dyDescent="0.3">
      <c r="A13" t="s">
        <v>33</v>
      </c>
      <c r="C13" s="3">
        <v>46054</v>
      </c>
      <c r="D13" s="10">
        <v>46387</v>
      </c>
    </row>
    <row r="14" spans="1:6" x14ac:dyDescent="0.3">
      <c r="A14" t="s">
        <v>35</v>
      </c>
      <c r="C14" s="3">
        <v>46054</v>
      </c>
      <c r="D14" s="10">
        <v>46387</v>
      </c>
    </row>
    <row r="15" spans="1:6" x14ac:dyDescent="0.3">
      <c r="A15" t="s">
        <v>36</v>
      </c>
      <c r="C15" s="3">
        <v>46054</v>
      </c>
      <c r="D15" s="10">
        <v>46387</v>
      </c>
    </row>
    <row r="16" spans="1:6" x14ac:dyDescent="0.3">
      <c r="A16" t="s">
        <v>37</v>
      </c>
      <c r="C16" s="3">
        <v>46054</v>
      </c>
      <c r="D16" s="10">
        <v>46387</v>
      </c>
    </row>
    <row r="17" spans="3:4" x14ac:dyDescent="0.3">
      <c r="C17" s="3"/>
      <c r="D17" s="10"/>
    </row>
    <row r="18" spans="3:4" x14ac:dyDescent="0.3">
      <c r="C18" s="3"/>
      <c r="D18" s="10"/>
    </row>
    <row r="19" spans="3:4" x14ac:dyDescent="0.3">
      <c r="C19" s="3"/>
      <c r="D19" s="10"/>
    </row>
    <row r="20" spans="3:4" x14ac:dyDescent="0.3">
      <c r="C20" s="3"/>
      <c r="D20" s="10"/>
    </row>
    <row r="21" spans="3:4" x14ac:dyDescent="0.3">
      <c r="C21" s="3"/>
      <c r="D21" s="10"/>
    </row>
    <row r="22" spans="3:4" x14ac:dyDescent="0.3">
      <c r="C22" s="3"/>
      <c r="D22" s="10"/>
    </row>
    <row r="23" spans="3:4" x14ac:dyDescent="0.3">
      <c r="C23" s="3"/>
      <c r="D23" s="10"/>
    </row>
    <row r="24" spans="3:4" x14ac:dyDescent="0.3">
      <c r="C24" s="3"/>
      <c r="D24" s="10"/>
    </row>
    <row r="25" spans="3:4" x14ac:dyDescent="0.3">
      <c r="C25" s="3"/>
      <c r="D25" s="10"/>
    </row>
    <row r="26" spans="3:4" x14ac:dyDescent="0.3">
      <c r="C26" s="3"/>
      <c r="D26" s="10"/>
    </row>
    <row r="27" spans="3:4" x14ac:dyDescent="0.3">
      <c r="C27" s="3"/>
      <c r="D27" s="10"/>
    </row>
    <row r="28" spans="3:4" x14ac:dyDescent="0.3">
      <c r="C28" s="3"/>
      <c r="D28" s="10"/>
    </row>
    <row r="29" spans="3:4" x14ac:dyDescent="0.3">
      <c r="C29" s="3"/>
      <c r="D29" s="10"/>
    </row>
    <row r="30" spans="3:4" x14ac:dyDescent="0.3">
      <c r="C30" s="3"/>
      <c r="D30" s="10"/>
    </row>
    <row r="31" spans="3:4" x14ac:dyDescent="0.3">
      <c r="C31" s="3"/>
      <c r="D31" s="10"/>
    </row>
    <row r="32" spans="3:4" x14ac:dyDescent="0.3">
      <c r="C32" s="3"/>
      <c r="D32" s="10"/>
    </row>
    <row r="33" spans="3:4" x14ac:dyDescent="0.3">
      <c r="C33" s="3"/>
      <c r="D33" s="10"/>
    </row>
    <row r="34" spans="3:4" x14ac:dyDescent="0.3">
      <c r="C34" s="3"/>
      <c r="D34" s="10"/>
    </row>
    <row r="35" spans="3:4" x14ac:dyDescent="0.3">
      <c r="C35" s="3"/>
      <c r="D35" s="10"/>
    </row>
    <row r="36" spans="3:4" x14ac:dyDescent="0.3">
      <c r="C36" s="3"/>
      <c r="D36" s="10"/>
    </row>
    <row r="37" spans="3:4" x14ac:dyDescent="0.3">
      <c r="C37" s="3"/>
      <c r="D37" s="10"/>
    </row>
  </sheetData>
  <autoFilter ref="A1:D1" xr:uid="{1984D3B0-44E8-4A70-AAF3-B2D06CB2F524}"/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4F4A-1065-40CE-A42E-3A6CDD60C8AD}">
  <dimension ref="A1:I9"/>
  <sheetViews>
    <sheetView workbookViewId="0">
      <selection activeCell="B6" sqref="B6"/>
    </sheetView>
  </sheetViews>
  <sheetFormatPr baseColWidth="10" defaultRowHeight="14.4" x14ac:dyDescent="0.3"/>
  <cols>
    <col min="1" max="1" width="41.33203125" customWidth="1"/>
    <col min="2" max="2" width="26.6640625" customWidth="1"/>
    <col min="3" max="4" width="22.33203125" customWidth="1"/>
    <col min="5" max="5" width="18.109375" customWidth="1"/>
    <col min="6" max="6" width="14.88671875" customWidth="1"/>
    <col min="7" max="7" width="18.77734375" customWidth="1"/>
    <col min="8" max="8" width="18.88671875" customWidth="1"/>
    <col min="9" max="9" width="22.21875" customWidth="1"/>
  </cols>
  <sheetData>
    <row r="1" spans="1:9" x14ac:dyDescent="0.3">
      <c r="A1" t="s">
        <v>48</v>
      </c>
      <c r="B1" s="5">
        <v>1</v>
      </c>
    </row>
    <row r="2" spans="1:9" x14ac:dyDescent="0.3">
      <c r="A2" t="s">
        <v>49</v>
      </c>
      <c r="B2" s="5">
        <v>1</v>
      </c>
    </row>
    <row r="3" spans="1:9" x14ac:dyDescent="0.3">
      <c r="A3" t="s">
        <v>50</v>
      </c>
    </row>
    <row r="4" spans="1:9" x14ac:dyDescent="0.3">
      <c r="A4" t="s">
        <v>51</v>
      </c>
      <c r="B4" t="s">
        <v>10</v>
      </c>
      <c r="C4" t="s">
        <v>11</v>
      </c>
      <c r="D4" t="s">
        <v>45</v>
      </c>
      <c r="E4" t="s">
        <v>12</v>
      </c>
      <c r="F4" t="s">
        <v>13</v>
      </c>
      <c r="G4" t="s">
        <v>14</v>
      </c>
      <c r="H4" t="s">
        <v>18</v>
      </c>
      <c r="I4" t="s">
        <v>15</v>
      </c>
    </row>
    <row r="5" spans="1:9" x14ac:dyDescent="0.3">
      <c r="A5" t="s">
        <v>5</v>
      </c>
      <c r="B5" t="s">
        <v>47</v>
      </c>
    </row>
    <row r="6" spans="1:9" x14ac:dyDescent="0.3">
      <c r="A6" t="s">
        <v>6</v>
      </c>
      <c r="B6" t="s">
        <v>17</v>
      </c>
    </row>
    <row r="7" spans="1:9" x14ac:dyDescent="0.3">
      <c r="A7" t="s">
        <v>9</v>
      </c>
      <c r="B7" t="s">
        <v>46</v>
      </c>
    </row>
    <row r="8" spans="1:9" x14ac:dyDescent="0.3">
      <c r="A8" t="s">
        <v>7</v>
      </c>
      <c r="B8" s="3">
        <v>46387</v>
      </c>
    </row>
    <row r="9" spans="1:9" x14ac:dyDescent="0.3">
      <c r="A9" t="s">
        <v>8</v>
      </c>
      <c r="B9">
        <v>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21B3-20F1-4E67-A068-924EC606A6BD}">
  <dimension ref="A1:H16"/>
  <sheetViews>
    <sheetView workbookViewId="0">
      <selection activeCell="A2" sqref="A2:A16"/>
    </sheetView>
  </sheetViews>
  <sheetFormatPr baseColWidth="10" defaultRowHeight="14.4" x14ac:dyDescent="0.3"/>
  <cols>
    <col min="1" max="1" width="32.44140625" bestFit="1" customWidth="1"/>
    <col min="2" max="2" width="16.21875" bestFit="1" customWidth="1"/>
    <col min="3" max="3" width="20.109375" bestFit="1" customWidth="1"/>
    <col min="4" max="4" width="20.44140625" bestFit="1" customWidth="1"/>
    <col min="5" max="5" width="20.44140625" customWidth="1"/>
    <col min="6" max="6" width="34.44140625" bestFit="1" customWidth="1"/>
    <col min="7" max="7" width="24.33203125" bestFit="1" customWidth="1"/>
    <col min="8" max="8" width="11.88671875" bestFit="1" customWidth="1"/>
  </cols>
  <sheetData>
    <row r="1" spans="1:8" x14ac:dyDescent="0.3">
      <c r="A1" t="s">
        <v>19</v>
      </c>
      <c r="B1" s="11" t="s">
        <v>20</v>
      </c>
      <c r="C1" s="6" t="s">
        <v>21</v>
      </c>
      <c r="D1" t="s">
        <v>40</v>
      </c>
      <c r="E1" s="7" t="s">
        <v>22</v>
      </c>
      <c r="F1" t="s">
        <v>23</v>
      </c>
      <c r="G1" t="s">
        <v>24</v>
      </c>
      <c r="H1" t="s">
        <v>41</v>
      </c>
    </row>
    <row r="2" spans="1:8" x14ac:dyDescent="0.3">
      <c r="A2" t="s">
        <v>25</v>
      </c>
      <c r="B2" s="8">
        <v>9</v>
      </c>
      <c r="C2" s="8">
        <v>8</v>
      </c>
      <c r="D2" t="s">
        <v>42</v>
      </c>
      <c r="E2" s="9">
        <f t="shared" ref="E2:E16" si="0">F2-G2</f>
        <v>581200</v>
      </c>
      <c r="F2" s="9">
        <v>900000</v>
      </c>
      <c r="G2" s="9">
        <v>318800</v>
      </c>
    </row>
    <row r="3" spans="1:8" x14ac:dyDescent="0.3">
      <c r="A3" t="s">
        <v>26</v>
      </c>
      <c r="B3" s="8">
        <v>9</v>
      </c>
      <c r="C3" s="8">
        <v>9</v>
      </c>
      <c r="D3" t="s">
        <v>43</v>
      </c>
      <c r="E3" s="9">
        <f t="shared" si="0"/>
        <v>516399.99999999994</v>
      </c>
      <c r="F3" s="9">
        <v>1000000</v>
      </c>
      <c r="G3" s="9">
        <v>483600.00000000006</v>
      </c>
    </row>
    <row r="4" spans="1:8" x14ac:dyDescent="0.3">
      <c r="A4" t="s">
        <v>28</v>
      </c>
      <c r="B4" s="8">
        <v>6</v>
      </c>
      <c r="C4" s="8">
        <v>2</v>
      </c>
      <c r="D4" t="s">
        <v>42</v>
      </c>
      <c r="E4" s="9">
        <f t="shared" si="0"/>
        <v>219400</v>
      </c>
      <c r="F4" s="9">
        <v>250000</v>
      </c>
      <c r="G4" s="9">
        <v>30600</v>
      </c>
    </row>
    <row r="5" spans="1:8" x14ac:dyDescent="0.3">
      <c r="A5" t="s">
        <v>27</v>
      </c>
      <c r="B5" s="8">
        <v>7</v>
      </c>
      <c r="C5" s="8">
        <v>6</v>
      </c>
      <c r="D5" t="s">
        <v>42</v>
      </c>
      <c r="E5" s="9">
        <f t="shared" si="0"/>
        <v>140800</v>
      </c>
      <c r="F5" s="9">
        <v>650000</v>
      </c>
      <c r="G5" s="9">
        <v>509200</v>
      </c>
    </row>
    <row r="6" spans="1:8" x14ac:dyDescent="0.3">
      <c r="A6" t="s">
        <v>29</v>
      </c>
      <c r="B6" s="8">
        <v>8</v>
      </c>
      <c r="C6" s="8">
        <v>5</v>
      </c>
      <c r="D6" t="s">
        <v>43</v>
      </c>
      <c r="E6" s="9">
        <f t="shared" si="0"/>
        <v>106000</v>
      </c>
      <c r="F6" s="9">
        <v>300000</v>
      </c>
      <c r="G6" s="9">
        <v>194000</v>
      </c>
    </row>
    <row r="7" spans="1:8" x14ac:dyDescent="0.3">
      <c r="A7" t="s">
        <v>38</v>
      </c>
      <c r="B7" s="8">
        <v>9</v>
      </c>
      <c r="C7" s="8">
        <v>2</v>
      </c>
      <c r="D7" t="s">
        <v>44</v>
      </c>
      <c r="E7" s="9">
        <f t="shared" si="0"/>
        <v>73000</v>
      </c>
      <c r="F7" s="9">
        <v>100000</v>
      </c>
      <c r="G7" s="9">
        <v>27000</v>
      </c>
    </row>
    <row r="8" spans="1:8" x14ac:dyDescent="0.3">
      <c r="A8" t="s">
        <v>39</v>
      </c>
      <c r="B8" s="8">
        <v>8</v>
      </c>
      <c r="C8" s="8">
        <v>1</v>
      </c>
      <c r="D8" t="s">
        <v>44</v>
      </c>
      <c r="E8" s="9">
        <f t="shared" si="0"/>
        <v>30299.999999999993</v>
      </c>
      <c r="F8" s="9">
        <v>60000</v>
      </c>
      <c r="G8" s="9">
        <v>29700.000000000007</v>
      </c>
    </row>
    <row r="9" spans="1:8" x14ac:dyDescent="0.3">
      <c r="A9" t="s">
        <v>30</v>
      </c>
      <c r="B9" s="8">
        <v>9</v>
      </c>
      <c r="C9" s="8">
        <v>5</v>
      </c>
      <c r="D9" t="s">
        <v>44</v>
      </c>
      <c r="E9" s="9">
        <f t="shared" si="0"/>
        <v>-10800</v>
      </c>
      <c r="F9" s="9">
        <v>0</v>
      </c>
      <c r="G9" s="9">
        <v>10800</v>
      </c>
    </row>
    <row r="10" spans="1:8" x14ac:dyDescent="0.3">
      <c r="A10" t="s">
        <v>31</v>
      </c>
      <c r="B10" s="8">
        <v>6</v>
      </c>
      <c r="C10" s="8">
        <v>4</v>
      </c>
      <c r="D10" t="s">
        <v>44</v>
      </c>
      <c r="E10" s="9">
        <f t="shared" si="0"/>
        <v>-13500</v>
      </c>
      <c r="F10" s="9">
        <v>0</v>
      </c>
      <c r="G10" s="9">
        <v>13500</v>
      </c>
    </row>
    <row r="11" spans="1:8" x14ac:dyDescent="0.3">
      <c r="A11" t="s">
        <v>32</v>
      </c>
      <c r="B11" s="8">
        <v>7</v>
      </c>
      <c r="C11" s="8">
        <v>1</v>
      </c>
      <c r="D11" t="s">
        <v>43</v>
      </c>
      <c r="E11" s="9">
        <f t="shared" si="0"/>
        <v>-14400</v>
      </c>
      <c r="F11" s="9">
        <v>0</v>
      </c>
      <c r="G11" s="9">
        <v>14400</v>
      </c>
    </row>
    <row r="12" spans="1:8" x14ac:dyDescent="0.3">
      <c r="A12" t="s">
        <v>34</v>
      </c>
      <c r="B12" s="8">
        <v>9</v>
      </c>
      <c r="C12" s="8">
        <v>3</v>
      </c>
      <c r="D12" t="s">
        <v>44</v>
      </c>
      <c r="E12" s="9">
        <f t="shared" si="0"/>
        <v>-16200</v>
      </c>
      <c r="F12" s="9">
        <v>0</v>
      </c>
      <c r="G12" s="9">
        <v>16200</v>
      </c>
    </row>
    <row r="13" spans="1:8" x14ac:dyDescent="0.3">
      <c r="A13" t="s">
        <v>33</v>
      </c>
      <c r="B13" s="8">
        <v>7</v>
      </c>
      <c r="C13" s="8">
        <v>7</v>
      </c>
      <c r="D13" t="s">
        <v>43</v>
      </c>
      <c r="E13" s="9">
        <f t="shared" si="0"/>
        <v>-16200</v>
      </c>
      <c r="F13" s="9">
        <v>0</v>
      </c>
      <c r="G13" s="9">
        <v>16200</v>
      </c>
    </row>
    <row r="14" spans="1:8" x14ac:dyDescent="0.3">
      <c r="A14" t="s">
        <v>35</v>
      </c>
      <c r="B14" s="8">
        <v>5</v>
      </c>
      <c r="C14" s="8">
        <v>2</v>
      </c>
      <c r="D14" t="s">
        <v>44</v>
      </c>
      <c r="E14" s="9">
        <f t="shared" si="0"/>
        <v>-16200.000000000004</v>
      </c>
      <c r="F14" s="9">
        <v>0</v>
      </c>
      <c r="G14" s="9">
        <v>16200.000000000004</v>
      </c>
    </row>
    <row r="15" spans="1:8" x14ac:dyDescent="0.3">
      <c r="A15" t="s">
        <v>36</v>
      </c>
      <c r="B15" s="8">
        <v>8</v>
      </c>
      <c r="C15" s="8">
        <v>3</v>
      </c>
      <c r="D15" t="s">
        <v>43</v>
      </c>
      <c r="E15" s="9">
        <f t="shared" si="0"/>
        <v>-18000</v>
      </c>
      <c r="F15" s="9">
        <v>0</v>
      </c>
      <c r="G15" s="9">
        <v>18000</v>
      </c>
    </row>
    <row r="16" spans="1:8" x14ac:dyDescent="0.3">
      <c r="A16" t="s">
        <v>37</v>
      </c>
      <c r="B16" s="8">
        <v>6</v>
      </c>
      <c r="C16" s="8">
        <v>1</v>
      </c>
      <c r="D16" t="s">
        <v>43</v>
      </c>
      <c r="E16" s="9">
        <f t="shared" si="0"/>
        <v>-39599.999999999993</v>
      </c>
      <c r="F16" s="9">
        <v>0</v>
      </c>
      <c r="G16" s="9">
        <v>39599.999999999993</v>
      </c>
    </row>
  </sheetData>
  <autoFilter ref="A1:H16" xr:uid="{6B1584EA-2A02-47E0-A4DC-EB8F1062EDE4}">
    <sortState xmlns:xlrd2="http://schemas.microsoft.com/office/spreadsheetml/2017/richdata2" ref="A2:H16">
      <sortCondition descending="1" ref="E2:E16"/>
      <sortCondition descending="1" ref="B2:B16"/>
      <sortCondition ref="C2:C16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Find Best Start</vt:lpstr>
      <vt:lpstr>Parameters</vt:lpstr>
      <vt:lpstr>Priorities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Thomas Koytek</cp:lastModifiedBy>
  <dcterms:created xsi:type="dcterms:W3CDTF">2021-11-21T18:38:46Z</dcterms:created>
  <dcterms:modified xsi:type="dcterms:W3CDTF">2026-01-15T16:19:10Z</dcterms:modified>
</cp:coreProperties>
</file>