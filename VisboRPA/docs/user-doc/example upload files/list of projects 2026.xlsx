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codeName="DieseArbeitsmappe" defaultThemeVersion="124226"/>
  <mc:AlternateContent xmlns:mc="http://schemas.openxmlformats.org/markup-compatibility/2006">
    <mc:Choice Requires="x15">
      <x15ac:absPath xmlns:x15ac="http://schemas.microsoft.com/office/spreadsheetml/2010/11/ac" url="C:\Users\thoma\Documents\VISBO-NativeClients\visbo-projectboard\VisboRPA\user-doc\example upload files\"/>
    </mc:Choice>
  </mc:AlternateContent>
  <xr:revisionPtr revIDLastSave="0" documentId="13_ncr:1_{6788159F-1580-4D0E-93AA-5EE2A47CCE81}" xr6:coauthVersionLast="47" xr6:coauthVersionMax="47" xr10:uidLastSave="{00000000-0000-0000-0000-000000000000}"/>
  <bookViews>
    <workbookView xWindow="-38520" yWindow="-2595" windowWidth="38640" windowHeight="21120" xr2:uid="{00000000-000D-0000-FFFF-FFFF00000000}"/>
  </bookViews>
  <sheets>
    <sheet name="Batch List" sheetId="5" r:id="rId1"/>
    <sheet name="Tabelle2" sheetId="2" r:id="rId2"/>
  </sheets>
  <definedNames>
    <definedName name="_xlnm._FilterDatabase" localSheetId="0" hidden="1">'Batch List'!$A$1:$O$13</definedName>
    <definedName name="BusinessUnits" localSheetId="0">Tabelle2!$B$1:$B$5</definedName>
    <definedName name="faktor" localSheetId="0">Tabelle2!$O$1</definedName>
    <definedName name="Vorlagen" localSheetId="0">Tabelle2!$A$1:$A$8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7" i="2" l="1"/>
  <c r="C46" i="2"/>
  <c r="C45" i="2"/>
  <c r="C44" i="2"/>
  <c r="C43" i="2"/>
  <c r="C42" i="2"/>
  <c r="C41" i="2"/>
  <c r="C40" i="2"/>
  <c r="C39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C25" i="2"/>
  <c r="C24" i="2"/>
  <c r="C23" i="2"/>
  <c r="C22" i="2"/>
  <c r="C21" i="2"/>
  <c r="C20" i="2"/>
  <c r="C19" i="2"/>
  <c r="C18" i="2"/>
  <c r="C17" i="2"/>
  <c r="C16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tom</author>
    <author>Tom</author>
  </authors>
  <commentList>
    <comment ref="A1" authorId="0" shapeId="0" xr:uid="{56C85D14-BC2F-473E-9B82-421862D92EC4}">
      <text>
        <r>
          <rPr>
            <sz val="11"/>
            <color theme="1"/>
            <rFont val="Calibri"/>
            <family val="2"/>
            <scheme val="minor"/>
          </rPr>
          <t xml:space="preserve">der eindeutige Name eines Projekts; wenn das Projekt bereits in der Datenbank existiert, wird eine neue Version auf Basis dieser Daten geschrieben; 
wenn das Projekt noch nicht existiert wird sowohl eine Baseline als auch zur Baseline identische erste Panungsversion geschrieben. </t>
        </r>
      </text>
    </comment>
    <comment ref="B1" authorId="1" shapeId="0" xr:uid="{7BE1A124-C97E-4E34-8B5A-7A3EE2B220B7}">
      <text>
        <r>
          <rPr>
            <sz val="9"/>
            <color indexed="81"/>
            <rFont val="Segoe UI"/>
            <family val="2"/>
          </rPr>
          <t xml:space="preserve">leer: es handelt sich um die Basis Variante = aktueller Planungs-Stand
ein Name ist angegeben: es wird eine Projekt-Variante mit diesem Namen angelegt
</t>
        </r>
      </text>
    </comment>
    <comment ref="C1" authorId="1" shapeId="0" xr:uid="{43427D66-79F5-4D4C-913F-CB54C8E512BF}">
      <text>
        <r>
          <rPr>
            <sz val="9"/>
            <color indexed="81"/>
            <rFont val="Segoe UI"/>
            <family val="2"/>
          </rPr>
          <t xml:space="preserve">das Projekt Template; muss im VISBO Center unter diesem Namen existieren!
kann eine beliebig tiefe Projekt-Struktur enthalten sowie typische Lieferumfänge   und typische Ressourcen- und Skillbedarfe. 
Wenn typische Ressourcen und Kostenbedarfe im Template enthalten sind, dann werden die Ressourcen gemäß angegebenem Budget so verteilt, so dass das proportionale Verhältnis der Ressourcen zueinander erhalten bleibt. </t>
        </r>
      </text>
    </comment>
    <comment ref="D1" authorId="1" shapeId="0" xr:uid="{A59446F9-DB0B-4D01-B41A-DDF126D62F82}">
      <text>
        <r>
          <rPr>
            <sz val="9"/>
            <color indexed="81"/>
            <rFont val="Segoe UI"/>
            <family val="2"/>
          </rPr>
          <t xml:space="preserve">optional:
Angabe verantwortlicher Projektleiter
</t>
        </r>
      </text>
    </comment>
    <comment ref="E1" authorId="1" shapeId="0" xr:uid="{0E3B25E9-CF03-47EB-B529-534B594DD9A8}">
      <text>
        <r>
          <rPr>
            <sz val="9"/>
            <color indexed="81"/>
            <rFont val="Segoe UI"/>
            <family val="2"/>
          </rPr>
          <t>Optional: 
Start-Datum des Projektes; muss vor  dem Ende-Datum  liegen, wenn beide angegeben sind. 
Wenn Start-Datum angegeben ist, aber weder Ende-Datum noch Dauer angegeben ist, wird die Dauer der Vorlage zugrundegelegt.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1" authorId="1" shapeId="0" xr:uid="{C1D47594-EDAC-4EB6-9FB2-C8748B0CAE25}">
      <text>
        <r>
          <rPr>
            <sz val="9"/>
            <color indexed="81"/>
            <rFont val="Segoe UI"/>
            <family val="2"/>
          </rPr>
          <t>Optional: 
Ende-Datum des Projektes; muss nach dem Startdatum liegen, wenn beide angegeben sind. 
Wenn Ende-Datum angegeben ist, aber weder Start-Datum noch Dauer angegeben ist, wird die Dauer der Vorlage zugrundegelegt.</t>
        </r>
      </text>
    </comment>
    <comment ref="G1" authorId="0" shapeId="0" xr:uid="{0D3E7309-E657-474D-B59B-EB6B67C2F087}">
      <text>
        <r>
          <rPr>
            <sz val="9"/>
            <color indexed="81"/>
            <rFont val="Segoe UI"/>
            <family val="2"/>
          </rPr>
          <t xml:space="preserve">Optional: 
Dauer des Projektes in Tagen; kann nur in Verbindung mit Startdatum </t>
        </r>
        <r>
          <rPr>
            <b/>
            <sz val="9"/>
            <color indexed="81"/>
            <rFont val="Segoe UI"/>
            <family val="2"/>
          </rPr>
          <t>oder</t>
        </r>
        <r>
          <rPr>
            <sz val="9"/>
            <color indexed="81"/>
            <rFont val="Segoe UI"/>
            <family val="2"/>
          </rPr>
          <t xml:space="preserve"> Ende-Datum angegeben werden.</t>
        </r>
      </text>
    </comment>
    <comment ref="H1" authorId="1" shapeId="0" xr:uid="{BBFB239A-23C0-4068-8F00-533805BC4EC3}">
      <text>
        <r>
          <rPr>
            <b/>
            <sz val="9"/>
            <color indexed="81"/>
            <rFont val="Segoe UI"/>
            <family val="2"/>
          </rPr>
          <t xml:space="preserve">Geben Sie an, wieviel Umsatz/Nutzen in T€ am Ende des Projektes erwartet wird </t>
        </r>
      </text>
    </comment>
    <comment ref="I1" authorId="0" shapeId="0" xr:uid="{15B253DD-A272-43B3-A9C6-A3D0E7E38C17}">
      <text>
        <r>
          <rPr>
            <sz val="9"/>
            <color indexed="81"/>
            <rFont val="Segoe UI"/>
            <family val="2"/>
          </rPr>
          <t xml:space="preserve">wenn das Template typische Ressourcen-, Skill und Kostenbedarfe enthält , dann werden die Ressourcen-Bedarfe so gewählt, dass genau der Budget Wert getroffen wird und ausserdem die gleiche Verteil-Charakteristik wie im Template vorliegt.  
Schlüsselwort calcNeeded errechnet aus einer Angabe für Ressourcen- bzw Kostenbedarfe in Spalten I, J das notwendige Budget; </t>
        </r>
      </text>
    </comment>
    <comment ref="J1" authorId="0" shapeId="0" xr:uid="{635E9794-D3B4-4B1F-A6EB-6F4656CA3727}">
      <text>
        <r>
          <rPr>
            <sz val="9"/>
            <color indexed="81"/>
            <rFont val="Segoe UI"/>
            <family val="2"/>
          </rPr>
          <t xml:space="preserve">Optional: 
Angabe von &lt;Ressource&gt;:Anzahl Tage 
Mehrere Angaben können durch # getrennt werden. 
der Ressourcen-Name muss einem Namen bzw. Alias Namen in der Organisations-Datei entsprechen; 
bitte Bedarf in PT (Personentagen angeben); </t>
        </r>
      </text>
    </comment>
    <comment ref="K1" authorId="0" shapeId="0" xr:uid="{6BC36973-6542-4D28-A4A9-1BD799B35057}">
      <text>
        <r>
          <rPr>
            <sz val="9"/>
            <color indexed="81"/>
            <rFont val="Segoe UI"/>
            <family val="2"/>
          </rPr>
          <t xml:space="preserve">Optional: 
Angabe von &lt;Kostenart&gt;:Anzahl Tage 
Mehrere Angaben können durch # getrennt werden
bitte Bedarf in T€ (Tausend Euro) ; der Kostenart-Name muss einem Namen in der Organisations-Datei entsprechen; </t>
        </r>
        <r>
          <rPr>
            <sz val="12"/>
            <color indexed="81"/>
            <rFont val="Tahoma"/>
            <family val="2"/>
          </rPr>
          <t xml:space="preserve">
</t>
        </r>
      </text>
    </comment>
    <comment ref="L1" authorId="1" shapeId="0" xr:uid="{97B47B88-1704-43BD-814F-E7D92E54C27D}">
      <text>
        <r>
          <rPr>
            <sz val="9"/>
            <color indexed="81"/>
            <rFont val="Segoe UI"/>
            <family val="2"/>
          </rPr>
          <t>Risiko-Kennzahl zwischen 0 ..10
0: kein Risiko
10: sehr hohes Risiko</t>
        </r>
        <r>
          <rPr>
            <b/>
            <sz val="9"/>
            <color indexed="81"/>
            <rFont val="Segoe UI"/>
            <family val="2"/>
          </rPr>
          <t xml:space="preserve">
</t>
        </r>
      </text>
    </comment>
    <comment ref="M1" authorId="1" shapeId="0" xr:uid="{7447310A-CF90-457D-8963-4017B01EF626}">
      <text>
        <r>
          <rPr>
            <sz val="9"/>
            <color indexed="81"/>
            <rFont val="Segoe UI"/>
            <family val="2"/>
          </rPr>
          <t xml:space="preserve">Kennzahl für den strategischen Fit zwischen 0 ..10
0: passt nicht zur Strategie 
10 : passt excellent zur Strategie </t>
        </r>
      </text>
    </comment>
    <comment ref="N1" authorId="1" shapeId="0" xr:uid="{C80FE5DA-54CE-4B35-A6C2-92A922AEBC95}">
      <text>
        <r>
          <rPr>
            <sz val="9"/>
            <color indexed="81"/>
            <rFont val="Segoe UI"/>
            <family val="2"/>
          </rPr>
          <t xml:space="preserve">optional: 
Muss eine der in der Customization.json definierte Business Unit sein; 
</t>
        </r>
      </text>
    </comment>
    <comment ref="O1" authorId="1" shapeId="0" xr:uid="{DD325AB1-EB64-4E95-A782-CD83254B5E56}">
      <text>
        <r>
          <rPr>
            <sz val="9"/>
            <color indexed="81"/>
            <rFont val="Segoe UI"/>
            <family val="2"/>
          </rPr>
          <t xml:space="preserve">Optional: 
die Beschreibung Ziele des Projektes in Freitext
</t>
        </r>
      </text>
    </comment>
  </commentList>
</comments>
</file>

<file path=xl/sharedStrings.xml><?xml version="1.0" encoding="utf-8"?>
<sst xmlns="http://schemas.openxmlformats.org/spreadsheetml/2006/main" count="182" uniqueCount="126">
  <si>
    <t>Budget [T€]</t>
  </si>
  <si>
    <t>Business Unit</t>
  </si>
  <si>
    <t>Name</t>
  </si>
  <si>
    <t>SAP</t>
  </si>
  <si>
    <t>CRM</t>
  </si>
  <si>
    <t>PM</t>
  </si>
  <si>
    <t>CAD</t>
  </si>
  <si>
    <t>HR</t>
  </si>
  <si>
    <t>Variant</t>
  </si>
  <si>
    <t>Template</t>
  </si>
  <si>
    <t>Responsible</t>
  </si>
  <si>
    <t>Start</t>
  </si>
  <si>
    <t>End</t>
  </si>
  <si>
    <t>Duration [Days]</t>
  </si>
  <si>
    <t>Resources
[PD]</t>
  </si>
  <si>
    <t>Other Cost
[T€]</t>
  </si>
  <si>
    <t>Risk</t>
  </si>
  <si>
    <t>Strategy</t>
  </si>
  <si>
    <t>Description</t>
  </si>
  <si>
    <t>Revenue/Benefit [T€]</t>
  </si>
  <si>
    <t>Project-Nr</t>
  </si>
  <si>
    <t>Thema</t>
  </si>
  <si>
    <t>System</t>
  </si>
  <si>
    <t>Nutzenpotential</t>
  </si>
  <si>
    <t>AI</t>
  </si>
  <si>
    <t>Daily Business</t>
  </si>
  <si>
    <t>Agile Project Template</t>
  </si>
  <si>
    <t>lfd nr</t>
  </si>
  <si>
    <t>0001</t>
  </si>
  <si>
    <t>0002</t>
  </si>
  <si>
    <t>Type</t>
  </si>
  <si>
    <t>0003</t>
  </si>
  <si>
    <t>0004</t>
  </si>
  <si>
    <t>0005</t>
  </si>
  <si>
    <t>0006</t>
  </si>
  <si>
    <t>0007</t>
  </si>
  <si>
    <t>0008</t>
  </si>
  <si>
    <t>0009</t>
  </si>
  <si>
    <t>0010</t>
  </si>
  <si>
    <t>0011</t>
  </si>
  <si>
    <t>0012</t>
  </si>
  <si>
    <t>0013</t>
  </si>
  <si>
    <t>0014</t>
  </si>
  <si>
    <t>0015</t>
  </si>
  <si>
    <t>0016</t>
  </si>
  <si>
    <t>0017</t>
  </si>
  <si>
    <t>0018</t>
  </si>
  <si>
    <t>0019</t>
  </si>
  <si>
    <t>EN</t>
  </si>
  <si>
    <t>SO</t>
  </si>
  <si>
    <t>DI</t>
  </si>
  <si>
    <t>GO</t>
  </si>
  <si>
    <t>CY</t>
  </si>
  <si>
    <t>0020</t>
  </si>
  <si>
    <t>0021</t>
  </si>
  <si>
    <t>0022</t>
  </si>
  <si>
    <t>0023</t>
  </si>
  <si>
    <t>0024</t>
  </si>
  <si>
    <t>0025</t>
  </si>
  <si>
    <t>0026</t>
  </si>
  <si>
    <t>0027</t>
  </si>
  <si>
    <t>0028</t>
  </si>
  <si>
    <t>0029</t>
  </si>
  <si>
    <t>0030</t>
  </si>
  <si>
    <t>0031</t>
  </si>
  <si>
    <t>0032</t>
  </si>
  <si>
    <t>Cybersecurity Project Template</t>
  </si>
  <si>
    <t>Savings Project Template</t>
  </si>
  <si>
    <t>AI Act Project Template</t>
  </si>
  <si>
    <t>ESG Project Template</t>
  </si>
  <si>
    <t>IT Project Template</t>
  </si>
  <si>
    <t>Digitalisation Project Template</t>
  </si>
  <si>
    <t>FI:6 #IT:9 #QU:3</t>
  </si>
  <si>
    <t xml:space="preserve">FI:12 #QU: 6 </t>
  </si>
  <si>
    <t>IT:9 #FI: 6</t>
  </si>
  <si>
    <t>FI: 6 #QU: 6</t>
  </si>
  <si>
    <t>IT: 10 #QU:6</t>
  </si>
  <si>
    <t>FI: 24 #IT:36</t>
  </si>
  <si>
    <t>Licence Cost: 50 #OpEx: 90</t>
  </si>
  <si>
    <t>OpEx: 300</t>
  </si>
  <si>
    <t>OpEx: 200</t>
  </si>
  <si>
    <t>Conversion to energy-efficient lighting, machinery and equipment in production.</t>
  </si>
  <si>
    <t>Introduction of a basic waste recycling program for production waste</t>
  </si>
  <si>
    <t>Introduction to and training in basic safety standards in the workplace</t>
  </si>
  <si>
    <t>Introduction of a simple compliance program to ensure adherence to legal requirements</t>
  </si>
  <si>
    <t>Create a minimal annual ESG report to document progress.</t>
  </si>
  <si>
    <t>Introduction of basic controls to ensure compliance with standards and transparency in business processes</t>
  </si>
  <si>
    <t>Regular training to educate employees about phishing, social engineering and other attacks</t>
  </si>
  <si>
    <t>Develop a response plan for a cyberattack, including clear escalation and communication channels</t>
  </si>
  <si>
    <t>Classification of all deployed AI systems by risk level and risk assessment for each AI system</t>
  </si>
  <si>
    <t>Ensuring data quality and security, developing a user feedback system</t>
  </si>
  <si>
    <t>Automation of repetitive administrative tasks (e.g. invoicing, order processing) to save time and costs</t>
  </si>
  <si>
    <t>Implementation of an Enterprise Resource Planning (ERP) system to digitally integrate finance, supply chain, warehousing and production processes and increase efficiency</t>
  </si>
  <si>
    <t>Compliance</t>
  </si>
  <si>
    <t>Customer Projects</t>
  </si>
  <si>
    <t>Start End Template</t>
  </si>
  <si>
    <t>Digital Transformation</t>
  </si>
  <si>
    <t>Cost Savings</t>
  </si>
  <si>
    <t>Review and renegotiation of all maintenance and service contracts</t>
  </si>
  <si>
    <t>Licence Cost: 240 #OpEx: 100</t>
  </si>
  <si>
    <t>Implementation of a digital supplier portal for process automation</t>
  </si>
  <si>
    <t>DV: 48 #PR: 48 #QU:24 #MG:12</t>
  </si>
  <si>
    <t>Review and optimization of the make-or-buy strategy in production</t>
  </si>
  <si>
    <t>EN-Energy efficiency</t>
  </si>
  <si>
    <t>EN-Waste management</t>
  </si>
  <si>
    <t>SO-Employee health and safety</t>
  </si>
  <si>
    <t>GO-Compliance policies</t>
  </si>
  <si>
    <t>GO-ESG reporting</t>
  </si>
  <si>
    <t>GO-Internal Controls</t>
  </si>
  <si>
    <t>CY-cybersecurity training</t>
  </si>
  <si>
    <t>CY-Incident-Response-Plan</t>
  </si>
  <si>
    <t>AI-Categorization of AI systems</t>
  </si>
  <si>
    <t>AI-Data quality and feedback system</t>
  </si>
  <si>
    <t>DI-Automation of simple processes</t>
  </si>
  <si>
    <t>DI-Introduction of ERP system</t>
  </si>
  <si>
    <t>CS-Contract-Review</t>
  </si>
  <si>
    <t>CS-Supplier-Portal</t>
  </si>
  <si>
    <t>CS-Make-or-Buy</t>
  </si>
  <si>
    <t>FI: 18 #EXT: 6 #PR: 6</t>
  </si>
  <si>
    <t>PR: 24 #EXT: 3 #PU: 6</t>
  </si>
  <si>
    <t>FI: 10 #PR:6 #EXT: 2</t>
  </si>
  <si>
    <t>FI:8 #IT:12</t>
  </si>
  <si>
    <t>FI: 4 #EXT:36 #IT:4</t>
  </si>
  <si>
    <t>PU: 18 #FI:12 #MG:4</t>
  </si>
  <si>
    <t>PU: 24 #IT:24 #EXT:120 #MG: 10 #FI:10</t>
  </si>
  <si>
    <t>FI: 24 #EXT:120 #IT:80 #MG:12 #PR:24 #QU:24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</si>
</sst>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2"/>
      <color indexed="81"/>
      <name val="Tahoma"/>
      <family val="2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sz val="8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3" fillId="0" borderId="0"/>
    <xf numFmtId="0" fontId="2" fillId="0" borderId="0"/>
    <xf numFmtId="0" fontId="4" fillId="0" borderId="0"/>
  </cellStyleXfs>
  <cellXfs count="10">
    <xf numFmtId="0" fontId="0" fillId="0" borderId="0" xfId="0"/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center" vertical="center" wrapText="1"/>
    </xf>
    <xf numFmtId="1" fontId="0" fillId="0" borderId="0" xfId="0" applyNumberFormat="1"/>
    <xf numFmtId="14" fontId="0" fillId="0" borderId="0" xfId="0" applyNumberFormat="1"/>
    <xf numFmtId="0" fontId="0" fillId="0" borderId="0" xfId="2" applyFont="1"/>
    <xf numFmtId="0" fontId="0" fillId="0" borderId="0" xfId="2" applyFont="1" applyAlignment="1">
      <alignment horizontal="center"/>
    </xf>
    <xf numFmtId="2" fontId="3" fillId="0" borderId="0" xfId="1" applyNumberFormat="1" applyAlignment="1">
      <alignment horizontal="right"/>
    </xf>
    <xf numFmtId="1" fontId="0" fillId="0" borderId="0" xfId="0" applyNumberFormat="1" applyAlignment="1">
      <alignment horizontal="right" indent="5"/>
    </xf>
    <xf numFmtId="0" fontId="0" fillId="0" borderId="0" xfId="0" quotePrefix="1"/>
  </cellXfs>
  <cellStyles count="4">
    <cellStyle name="Normal 2" xfId="3" xr:uid="{00000000-0005-0000-0000-000000000000}"/>
    <cellStyle name="Normal 3" xfId="2" xr:uid="{00000000-0005-0000-0000-000001000000}"/>
    <cellStyle name="Standard" xfId="0" builtinId="0"/>
    <cellStyle name="Standard 2" xfId="1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F38694-2081-4A58-8143-2903CF787571}">
  <sheetPr>
    <pageSetUpPr fitToPage="1"/>
  </sheetPr>
  <dimension ref="A1:T113"/>
  <sheetViews>
    <sheetView tabSelected="1" defaultGridColor="0" topLeftCell="H1" colorId="22" zoomScale="130" zoomScaleNormal="130" workbookViewId="0">
      <selection activeCell="J7" sqref="J7"/>
    </sheetView>
  </sheetViews>
  <sheetFormatPr baseColWidth="10" defaultColWidth="11.44140625" defaultRowHeight="14.4" x14ac:dyDescent="0.3"/>
  <cols>
    <col min="1" max="1" width="42.88671875" customWidth="1"/>
    <col min="2" max="2" width="8.88671875" customWidth="1"/>
    <col min="3" max="3" width="29.21875" customWidth="1"/>
    <col min="4" max="4" width="16.109375" customWidth="1"/>
    <col min="5" max="5" width="11.5546875" customWidth="1"/>
    <col min="6" max="6" width="13.44140625" customWidth="1"/>
    <col min="7" max="7" width="15.44140625" customWidth="1"/>
    <col min="8" max="8" width="19.6640625" customWidth="1"/>
    <col min="9" max="9" width="11.6640625" customWidth="1"/>
    <col min="10" max="10" width="36.77734375" customWidth="1"/>
    <col min="11" max="11" width="42.5546875" customWidth="1"/>
    <col min="12" max="12" width="12.88671875" customWidth="1"/>
    <col min="13" max="13" width="12.44140625" customWidth="1"/>
    <col min="14" max="14" width="22.88671875" customWidth="1"/>
    <col min="15" max="15" width="105.5546875" customWidth="1"/>
    <col min="19" max="19" width="31.5546875" customWidth="1"/>
  </cols>
  <sheetData>
    <row r="1" spans="1:20" ht="46.5" customHeight="1" x14ac:dyDescent="0.3">
      <c r="A1" s="1" t="s">
        <v>2</v>
      </c>
      <c r="B1" s="1" t="s">
        <v>8</v>
      </c>
      <c r="C1" s="1" t="s">
        <v>9</v>
      </c>
      <c r="D1" s="2" t="s">
        <v>10</v>
      </c>
      <c r="E1" s="1" t="s">
        <v>11</v>
      </c>
      <c r="F1" s="1" t="s">
        <v>12</v>
      </c>
      <c r="G1" s="1" t="s">
        <v>13</v>
      </c>
      <c r="H1" s="2" t="s">
        <v>19</v>
      </c>
      <c r="I1" s="1" t="s">
        <v>0</v>
      </c>
      <c r="J1" s="2" t="s">
        <v>14</v>
      </c>
      <c r="K1" s="2" t="s">
        <v>15</v>
      </c>
      <c r="L1" s="2" t="s">
        <v>16</v>
      </c>
      <c r="M1" s="1" t="s">
        <v>17</v>
      </c>
      <c r="N1" s="1" t="s">
        <v>1</v>
      </c>
      <c r="O1" s="1" t="s">
        <v>18</v>
      </c>
      <c r="P1" s="1" t="s">
        <v>20</v>
      </c>
      <c r="Q1" s="1" t="s">
        <v>21</v>
      </c>
      <c r="R1" s="1" t="s">
        <v>22</v>
      </c>
      <c r="S1" s="1" t="s">
        <v>23</v>
      </c>
      <c r="T1" s="1"/>
    </row>
    <row r="2" spans="1:20" x14ac:dyDescent="0.3">
      <c r="A2" t="s">
        <v>103</v>
      </c>
      <c r="C2" t="s">
        <v>69</v>
      </c>
      <c r="D2" s="4"/>
      <c r="E2" s="4">
        <v>46054</v>
      </c>
      <c r="F2" s="4"/>
      <c r="G2" s="3">
        <v>90</v>
      </c>
      <c r="H2" s="3">
        <v>100</v>
      </c>
      <c r="I2" s="8"/>
      <c r="J2" s="5" t="s">
        <v>118</v>
      </c>
      <c r="K2" s="7"/>
      <c r="L2">
        <v>2</v>
      </c>
      <c r="M2">
        <v>9</v>
      </c>
      <c r="N2" s="6" t="s">
        <v>93</v>
      </c>
      <c r="O2" t="s">
        <v>81</v>
      </c>
    </row>
    <row r="3" spans="1:20" x14ac:dyDescent="0.3">
      <c r="A3" t="s">
        <v>104</v>
      </c>
      <c r="C3" t="s">
        <v>69</v>
      </c>
      <c r="E3" s="4">
        <v>46054</v>
      </c>
      <c r="G3" s="3">
        <v>120</v>
      </c>
      <c r="H3" s="3">
        <v>60</v>
      </c>
      <c r="J3" t="s">
        <v>119</v>
      </c>
      <c r="L3">
        <v>1</v>
      </c>
      <c r="M3">
        <v>8</v>
      </c>
      <c r="N3" s="6" t="s">
        <v>93</v>
      </c>
      <c r="O3" t="s">
        <v>82</v>
      </c>
    </row>
    <row r="4" spans="1:20" x14ac:dyDescent="0.3">
      <c r="A4" t="s">
        <v>105</v>
      </c>
      <c r="C4" t="s">
        <v>69</v>
      </c>
      <c r="E4" s="4">
        <v>46054</v>
      </c>
      <c r="G4" s="3">
        <v>90</v>
      </c>
      <c r="H4" s="3"/>
      <c r="J4" t="s">
        <v>120</v>
      </c>
      <c r="L4">
        <v>3</v>
      </c>
      <c r="M4">
        <v>9</v>
      </c>
      <c r="N4" s="6" t="s">
        <v>93</v>
      </c>
      <c r="O4" t="s">
        <v>83</v>
      </c>
    </row>
    <row r="5" spans="1:20" x14ac:dyDescent="0.3">
      <c r="A5" t="s">
        <v>106</v>
      </c>
      <c r="C5" t="s">
        <v>69</v>
      </c>
      <c r="E5" s="4">
        <v>46054</v>
      </c>
      <c r="G5" s="3">
        <v>150</v>
      </c>
      <c r="H5" s="3"/>
      <c r="J5" t="s">
        <v>73</v>
      </c>
      <c r="L5">
        <v>2</v>
      </c>
      <c r="M5">
        <v>5</v>
      </c>
      <c r="N5" s="6" t="s">
        <v>93</v>
      </c>
      <c r="O5" t="s">
        <v>84</v>
      </c>
    </row>
    <row r="6" spans="1:20" x14ac:dyDescent="0.3">
      <c r="A6" t="s">
        <v>107</v>
      </c>
      <c r="C6" t="s">
        <v>69</v>
      </c>
      <c r="E6" s="4">
        <v>46054</v>
      </c>
      <c r="G6" s="3">
        <v>90</v>
      </c>
      <c r="H6" s="3"/>
      <c r="J6" t="s">
        <v>74</v>
      </c>
      <c r="L6">
        <v>4</v>
      </c>
      <c r="M6">
        <v>6</v>
      </c>
      <c r="N6" s="6" t="s">
        <v>93</v>
      </c>
      <c r="O6" t="s">
        <v>85</v>
      </c>
    </row>
    <row r="7" spans="1:20" x14ac:dyDescent="0.3">
      <c r="A7" t="s">
        <v>108</v>
      </c>
      <c r="C7" t="s">
        <v>69</v>
      </c>
      <c r="E7" s="4">
        <v>46054</v>
      </c>
      <c r="G7" s="3">
        <v>90</v>
      </c>
      <c r="H7" s="3"/>
      <c r="J7" t="s">
        <v>75</v>
      </c>
      <c r="L7">
        <v>5</v>
      </c>
      <c r="M7">
        <v>9</v>
      </c>
      <c r="N7" s="6" t="s">
        <v>93</v>
      </c>
      <c r="O7" t="s">
        <v>86</v>
      </c>
    </row>
    <row r="8" spans="1:20" x14ac:dyDescent="0.3">
      <c r="A8" t="s">
        <v>109</v>
      </c>
      <c r="C8" t="s">
        <v>66</v>
      </c>
      <c r="E8" s="4">
        <v>46054</v>
      </c>
      <c r="G8" s="3">
        <v>90</v>
      </c>
      <c r="H8" s="3"/>
      <c r="J8" t="s">
        <v>121</v>
      </c>
      <c r="L8">
        <v>3</v>
      </c>
      <c r="M8">
        <v>8</v>
      </c>
      <c r="N8" s="6" t="s">
        <v>96</v>
      </c>
      <c r="O8" t="s">
        <v>87</v>
      </c>
    </row>
    <row r="9" spans="1:20" x14ac:dyDescent="0.3">
      <c r="A9" t="s">
        <v>110</v>
      </c>
      <c r="C9" t="s">
        <v>66</v>
      </c>
      <c r="E9" s="4">
        <v>46054</v>
      </c>
      <c r="G9" s="3">
        <v>90</v>
      </c>
      <c r="H9" s="3"/>
      <c r="J9" t="s">
        <v>76</v>
      </c>
      <c r="L9">
        <v>1</v>
      </c>
      <c r="M9">
        <v>7</v>
      </c>
      <c r="N9" s="6" t="s">
        <v>96</v>
      </c>
      <c r="O9" t="s">
        <v>88</v>
      </c>
    </row>
    <row r="10" spans="1:20" x14ac:dyDescent="0.3">
      <c r="A10" t="s">
        <v>111</v>
      </c>
      <c r="C10" t="s">
        <v>68</v>
      </c>
      <c r="E10" s="4">
        <v>46054</v>
      </c>
      <c r="G10" s="3">
        <v>120</v>
      </c>
      <c r="H10" s="3"/>
      <c r="J10" t="s">
        <v>122</v>
      </c>
      <c r="L10">
        <v>1</v>
      </c>
      <c r="M10">
        <v>6</v>
      </c>
      <c r="N10" s="6" t="s">
        <v>96</v>
      </c>
      <c r="O10" t="s">
        <v>89</v>
      </c>
    </row>
    <row r="11" spans="1:20" x14ac:dyDescent="0.3">
      <c r="A11" t="s">
        <v>112</v>
      </c>
      <c r="C11" t="s">
        <v>68</v>
      </c>
      <c r="E11" s="4">
        <v>46054</v>
      </c>
      <c r="G11" s="3">
        <v>120</v>
      </c>
      <c r="H11" s="3"/>
      <c r="J11" t="s">
        <v>72</v>
      </c>
      <c r="L11">
        <v>7</v>
      </c>
      <c r="M11">
        <v>7</v>
      </c>
      <c r="N11" s="6" t="s">
        <v>96</v>
      </c>
      <c r="O11" t="s">
        <v>90</v>
      </c>
    </row>
    <row r="12" spans="1:20" x14ac:dyDescent="0.3">
      <c r="A12" t="s">
        <v>113</v>
      </c>
      <c r="C12" t="s">
        <v>70</v>
      </c>
      <c r="E12" s="4">
        <v>46054</v>
      </c>
      <c r="G12" s="3">
        <v>180</v>
      </c>
      <c r="H12" s="3">
        <v>300</v>
      </c>
      <c r="J12" t="s">
        <v>77</v>
      </c>
      <c r="K12" t="s">
        <v>78</v>
      </c>
      <c r="L12">
        <v>5</v>
      </c>
      <c r="M12">
        <v>8</v>
      </c>
      <c r="N12" s="6" t="s">
        <v>96</v>
      </c>
      <c r="O12" t="s">
        <v>91</v>
      </c>
    </row>
    <row r="13" spans="1:20" x14ac:dyDescent="0.3">
      <c r="A13" t="s">
        <v>114</v>
      </c>
      <c r="C13" t="s">
        <v>70</v>
      </c>
      <c r="E13" s="4">
        <v>46054</v>
      </c>
      <c r="F13" s="4">
        <v>46295</v>
      </c>
      <c r="G13" s="3"/>
      <c r="H13" s="3">
        <v>1000</v>
      </c>
      <c r="J13" t="s">
        <v>125</v>
      </c>
      <c r="K13" t="s">
        <v>79</v>
      </c>
      <c r="L13">
        <v>9</v>
      </c>
      <c r="M13">
        <v>9</v>
      </c>
      <c r="N13" s="6" t="s">
        <v>96</v>
      </c>
      <c r="O13" t="s">
        <v>92</v>
      </c>
    </row>
    <row r="14" spans="1:20" x14ac:dyDescent="0.3">
      <c r="A14" t="s">
        <v>115</v>
      </c>
      <c r="C14" t="s">
        <v>67</v>
      </c>
      <c r="E14" s="4">
        <v>46054</v>
      </c>
      <c r="F14" s="4">
        <v>46142</v>
      </c>
      <c r="G14" s="3"/>
      <c r="H14" s="3">
        <v>250</v>
      </c>
      <c r="J14" t="s">
        <v>123</v>
      </c>
      <c r="L14">
        <v>2</v>
      </c>
      <c r="M14">
        <v>6</v>
      </c>
      <c r="N14" s="6" t="s">
        <v>97</v>
      </c>
      <c r="O14" t="s">
        <v>98</v>
      </c>
    </row>
    <row r="15" spans="1:20" x14ac:dyDescent="0.3">
      <c r="A15" t="s">
        <v>116</v>
      </c>
      <c r="C15" t="s">
        <v>67</v>
      </c>
      <c r="E15" s="4">
        <v>46054</v>
      </c>
      <c r="F15" s="4">
        <v>46265</v>
      </c>
      <c r="G15" s="3"/>
      <c r="H15" s="3">
        <v>650</v>
      </c>
      <c r="J15" t="s">
        <v>124</v>
      </c>
      <c r="K15" t="s">
        <v>99</v>
      </c>
      <c r="L15">
        <v>6</v>
      </c>
      <c r="M15">
        <v>7</v>
      </c>
      <c r="N15" s="6" t="s">
        <v>97</v>
      </c>
      <c r="O15" t="s">
        <v>100</v>
      </c>
    </row>
    <row r="16" spans="1:20" x14ac:dyDescent="0.3">
      <c r="A16" t="s">
        <v>117</v>
      </c>
      <c r="C16" t="s">
        <v>67</v>
      </c>
      <c r="E16" s="4">
        <v>46054</v>
      </c>
      <c r="F16" s="4">
        <v>46356</v>
      </c>
      <c r="G16" s="3"/>
      <c r="H16" s="3">
        <v>900</v>
      </c>
      <c r="J16" t="s">
        <v>101</v>
      </c>
      <c r="K16" t="s">
        <v>80</v>
      </c>
      <c r="L16">
        <v>8</v>
      </c>
      <c r="M16">
        <v>9</v>
      </c>
      <c r="N16" s="6" t="s">
        <v>97</v>
      </c>
      <c r="O16" t="s">
        <v>102</v>
      </c>
    </row>
    <row r="17" spans="7:8" x14ac:dyDescent="0.3">
      <c r="G17" s="3"/>
      <c r="H17" s="3"/>
    </row>
    <row r="18" spans="7:8" x14ac:dyDescent="0.3">
      <c r="G18" s="3"/>
      <c r="H18" s="3"/>
    </row>
    <row r="19" spans="7:8" x14ac:dyDescent="0.3">
      <c r="G19" s="3"/>
      <c r="H19" s="3"/>
    </row>
    <row r="20" spans="7:8" x14ac:dyDescent="0.3">
      <c r="G20" s="3"/>
      <c r="H20" s="3"/>
    </row>
    <row r="21" spans="7:8" x14ac:dyDescent="0.3">
      <c r="G21" s="3"/>
      <c r="H21" s="3"/>
    </row>
    <row r="22" spans="7:8" x14ac:dyDescent="0.3">
      <c r="G22" s="3"/>
      <c r="H22" s="3"/>
    </row>
    <row r="23" spans="7:8" x14ac:dyDescent="0.3">
      <c r="G23" s="3"/>
      <c r="H23" s="3"/>
    </row>
    <row r="24" spans="7:8" x14ac:dyDescent="0.3">
      <c r="G24" s="3"/>
      <c r="H24" s="3"/>
    </row>
    <row r="25" spans="7:8" x14ac:dyDescent="0.3">
      <c r="G25" s="3"/>
      <c r="H25" s="3"/>
    </row>
    <row r="26" spans="7:8" x14ac:dyDescent="0.3">
      <c r="G26" s="3"/>
      <c r="H26" s="3"/>
    </row>
    <row r="27" spans="7:8" x14ac:dyDescent="0.3">
      <c r="G27" s="3"/>
      <c r="H27" s="3"/>
    </row>
    <row r="28" spans="7:8" x14ac:dyDescent="0.3">
      <c r="G28" s="3"/>
      <c r="H28" s="3"/>
    </row>
    <row r="29" spans="7:8" x14ac:dyDescent="0.3">
      <c r="G29" s="3"/>
      <c r="H29" s="3"/>
    </row>
    <row r="30" spans="7:8" x14ac:dyDescent="0.3">
      <c r="G30" s="3"/>
      <c r="H30" s="3"/>
    </row>
    <row r="31" spans="7:8" x14ac:dyDescent="0.3">
      <c r="G31" s="3"/>
      <c r="H31" s="3"/>
    </row>
    <row r="32" spans="7:8" x14ac:dyDescent="0.3">
      <c r="G32" s="3"/>
      <c r="H32" s="3"/>
    </row>
    <row r="33" spans="7:8" x14ac:dyDescent="0.3">
      <c r="G33" s="3"/>
      <c r="H33" s="3"/>
    </row>
    <row r="34" spans="7:8" x14ac:dyDescent="0.3">
      <c r="G34" s="3"/>
      <c r="H34" s="3"/>
    </row>
    <row r="35" spans="7:8" x14ac:dyDescent="0.3">
      <c r="G35" s="3"/>
      <c r="H35" s="3"/>
    </row>
    <row r="36" spans="7:8" x14ac:dyDescent="0.3">
      <c r="G36" s="3"/>
      <c r="H36" s="3"/>
    </row>
    <row r="37" spans="7:8" x14ac:dyDescent="0.3">
      <c r="G37" s="3"/>
      <c r="H37" s="3"/>
    </row>
    <row r="38" spans="7:8" x14ac:dyDescent="0.3">
      <c r="G38" s="3"/>
      <c r="H38" s="3"/>
    </row>
    <row r="39" spans="7:8" x14ac:dyDescent="0.3">
      <c r="G39" s="3"/>
      <c r="H39" s="3"/>
    </row>
    <row r="40" spans="7:8" x14ac:dyDescent="0.3">
      <c r="G40" s="3"/>
      <c r="H40" s="3"/>
    </row>
    <row r="41" spans="7:8" x14ac:dyDescent="0.3">
      <c r="G41" s="3"/>
      <c r="H41" s="3"/>
    </row>
    <row r="42" spans="7:8" x14ac:dyDescent="0.3">
      <c r="G42" s="3"/>
      <c r="H42" s="3"/>
    </row>
    <row r="43" spans="7:8" x14ac:dyDescent="0.3">
      <c r="G43" s="3"/>
      <c r="H43" s="3"/>
    </row>
    <row r="44" spans="7:8" x14ac:dyDescent="0.3">
      <c r="G44" s="3"/>
      <c r="H44" s="3"/>
    </row>
    <row r="45" spans="7:8" x14ac:dyDescent="0.3">
      <c r="G45" s="3"/>
      <c r="H45" s="3"/>
    </row>
    <row r="46" spans="7:8" x14ac:dyDescent="0.3">
      <c r="G46" s="3"/>
      <c r="H46" s="3"/>
    </row>
    <row r="47" spans="7:8" x14ac:dyDescent="0.3">
      <c r="G47" s="3"/>
      <c r="H47" s="3"/>
    </row>
    <row r="48" spans="7:8" x14ac:dyDescent="0.3">
      <c r="G48" s="3"/>
      <c r="H48" s="3"/>
    </row>
    <row r="49" spans="7:8" x14ac:dyDescent="0.3">
      <c r="G49" s="3"/>
      <c r="H49" s="3"/>
    </row>
    <row r="50" spans="7:8" x14ac:dyDescent="0.3">
      <c r="G50" s="3"/>
      <c r="H50" s="3"/>
    </row>
    <row r="51" spans="7:8" x14ac:dyDescent="0.3">
      <c r="G51" s="3"/>
      <c r="H51" s="3"/>
    </row>
    <row r="52" spans="7:8" x14ac:dyDescent="0.3">
      <c r="G52" s="3"/>
      <c r="H52" s="3"/>
    </row>
    <row r="53" spans="7:8" x14ac:dyDescent="0.3">
      <c r="G53" s="3"/>
      <c r="H53" s="3"/>
    </row>
    <row r="54" spans="7:8" x14ac:dyDescent="0.3">
      <c r="G54" s="3"/>
      <c r="H54" s="3"/>
    </row>
    <row r="55" spans="7:8" x14ac:dyDescent="0.3">
      <c r="G55" s="3"/>
      <c r="H55" s="3"/>
    </row>
    <row r="56" spans="7:8" x14ac:dyDescent="0.3">
      <c r="G56" s="3"/>
      <c r="H56" s="3"/>
    </row>
    <row r="57" spans="7:8" x14ac:dyDescent="0.3">
      <c r="G57" s="3"/>
      <c r="H57" s="3"/>
    </row>
    <row r="58" spans="7:8" x14ac:dyDescent="0.3">
      <c r="G58" s="3"/>
      <c r="H58" s="3"/>
    </row>
    <row r="59" spans="7:8" x14ac:dyDescent="0.3">
      <c r="G59" s="3"/>
      <c r="H59" s="3"/>
    </row>
    <row r="60" spans="7:8" x14ac:dyDescent="0.3">
      <c r="G60" s="3"/>
      <c r="H60" s="3"/>
    </row>
    <row r="61" spans="7:8" x14ac:dyDescent="0.3">
      <c r="G61" s="3"/>
      <c r="H61" s="3"/>
    </row>
    <row r="62" spans="7:8" x14ac:dyDescent="0.3">
      <c r="G62" s="3"/>
      <c r="H62" s="3"/>
    </row>
    <row r="63" spans="7:8" x14ac:dyDescent="0.3">
      <c r="G63" s="3"/>
      <c r="H63" s="3"/>
    </row>
    <row r="64" spans="7:8" x14ac:dyDescent="0.3">
      <c r="G64" s="3"/>
      <c r="H64" s="3"/>
    </row>
    <row r="65" spans="7:8" x14ac:dyDescent="0.3">
      <c r="G65" s="3"/>
      <c r="H65" s="3"/>
    </row>
    <row r="66" spans="7:8" x14ac:dyDescent="0.3">
      <c r="G66" s="3"/>
      <c r="H66" s="3"/>
    </row>
    <row r="67" spans="7:8" x14ac:dyDescent="0.3">
      <c r="G67" s="3"/>
      <c r="H67" s="3"/>
    </row>
    <row r="68" spans="7:8" x14ac:dyDescent="0.3">
      <c r="G68" s="3"/>
      <c r="H68" s="3"/>
    </row>
    <row r="69" spans="7:8" x14ac:dyDescent="0.3">
      <c r="G69" s="3"/>
      <c r="H69" s="3"/>
    </row>
    <row r="70" spans="7:8" x14ac:dyDescent="0.3">
      <c r="G70" s="3"/>
      <c r="H70" s="3"/>
    </row>
    <row r="71" spans="7:8" x14ac:dyDescent="0.3">
      <c r="G71" s="3"/>
      <c r="H71" s="3"/>
    </row>
    <row r="72" spans="7:8" x14ac:dyDescent="0.3">
      <c r="G72" s="3"/>
      <c r="H72" s="3"/>
    </row>
    <row r="73" spans="7:8" x14ac:dyDescent="0.3">
      <c r="G73" s="3"/>
      <c r="H73" s="3"/>
    </row>
    <row r="74" spans="7:8" x14ac:dyDescent="0.3">
      <c r="G74" s="3"/>
      <c r="H74" s="3"/>
    </row>
    <row r="75" spans="7:8" x14ac:dyDescent="0.3">
      <c r="G75" s="3"/>
      <c r="H75" s="3"/>
    </row>
    <row r="76" spans="7:8" x14ac:dyDescent="0.3">
      <c r="G76" s="3"/>
      <c r="H76" s="3"/>
    </row>
    <row r="77" spans="7:8" x14ac:dyDescent="0.3">
      <c r="G77" s="3"/>
      <c r="H77" s="3"/>
    </row>
    <row r="78" spans="7:8" x14ac:dyDescent="0.3">
      <c r="G78" s="3"/>
      <c r="H78" s="3"/>
    </row>
    <row r="79" spans="7:8" x14ac:dyDescent="0.3">
      <c r="G79" s="3"/>
      <c r="H79" s="3"/>
    </row>
    <row r="80" spans="7:8" x14ac:dyDescent="0.3">
      <c r="G80" s="3"/>
      <c r="H80" s="3"/>
    </row>
    <row r="81" spans="7:8" x14ac:dyDescent="0.3">
      <c r="G81" s="3"/>
      <c r="H81" s="3"/>
    </row>
    <row r="82" spans="7:8" x14ac:dyDescent="0.3">
      <c r="G82" s="3"/>
      <c r="H82" s="3"/>
    </row>
    <row r="83" spans="7:8" x14ac:dyDescent="0.3">
      <c r="G83" s="3"/>
      <c r="H83" s="3"/>
    </row>
    <row r="84" spans="7:8" x14ac:dyDescent="0.3">
      <c r="G84" s="3"/>
      <c r="H84" s="3"/>
    </row>
    <row r="85" spans="7:8" x14ac:dyDescent="0.3">
      <c r="G85" s="3"/>
      <c r="H85" s="3"/>
    </row>
    <row r="86" spans="7:8" x14ac:dyDescent="0.3">
      <c r="G86" s="3"/>
      <c r="H86" s="3"/>
    </row>
    <row r="87" spans="7:8" x14ac:dyDescent="0.3">
      <c r="G87" s="3"/>
      <c r="H87" s="3"/>
    </row>
    <row r="88" spans="7:8" x14ac:dyDescent="0.3">
      <c r="G88" s="3"/>
      <c r="H88" s="3"/>
    </row>
    <row r="89" spans="7:8" x14ac:dyDescent="0.3">
      <c r="G89" s="3"/>
      <c r="H89" s="3"/>
    </row>
    <row r="90" spans="7:8" x14ac:dyDescent="0.3">
      <c r="G90" s="3"/>
      <c r="H90" s="3"/>
    </row>
    <row r="91" spans="7:8" x14ac:dyDescent="0.3">
      <c r="G91" s="3"/>
      <c r="H91" s="3"/>
    </row>
    <row r="92" spans="7:8" x14ac:dyDescent="0.3">
      <c r="G92" s="3"/>
      <c r="H92" s="3"/>
    </row>
    <row r="93" spans="7:8" x14ac:dyDescent="0.3">
      <c r="G93" s="3"/>
      <c r="H93" s="3"/>
    </row>
    <row r="94" spans="7:8" x14ac:dyDescent="0.3">
      <c r="G94" s="3"/>
      <c r="H94" s="3"/>
    </row>
    <row r="95" spans="7:8" x14ac:dyDescent="0.3">
      <c r="G95" s="3"/>
      <c r="H95" s="3"/>
    </row>
    <row r="96" spans="7:8" x14ac:dyDescent="0.3">
      <c r="G96" s="3"/>
      <c r="H96" s="3"/>
    </row>
    <row r="97" spans="7:8" x14ac:dyDescent="0.3">
      <c r="G97" s="3"/>
      <c r="H97" s="3"/>
    </row>
    <row r="98" spans="7:8" x14ac:dyDescent="0.3">
      <c r="G98" s="3"/>
      <c r="H98" s="3"/>
    </row>
    <row r="99" spans="7:8" x14ac:dyDescent="0.3">
      <c r="G99" s="3"/>
      <c r="H99" s="3"/>
    </row>
    <row r="100" spans="7:8" x14ac:dyDescent="0.3">
      <c r="G100" s="3"/>
      <c r="H100" s="3"/>
    </row>
    <row r="101" spans="7:8" x14ac:dyDescent="0.3">
      <c r="G101" s="3"/>
      <c r="H101" s="3"/>
    </row>
    <row r="102" spans="7:8" x14ac:dyDescent="0.3">
      <c r="G102" s="3"/>
      <c r="H102" s="3"/>
    </row>
    <row r="103" spans="7:8" x14ac:dyDescent="0.3">
      <c r="G103" s="3"/>
      <c r="H103" s="3"/>
    </row>
    <row r="104" spans="7:8" x14ac:dyDescent="0.3">
      <c r="G104" s="3"/>
      <c r="H104" s="3"/>
    </row>
    <row r="105" spans="7:8" x14ac:dyDescent="0.3">
      <c r="G105" s="3"/>
      <c r="H105" s="3"/>
    </row>
    <row r="106" spans="7:8" x14ac:dyDescent="0.3">
      <c r="G106" s="3"/>
      <c r="H106" s="3"/>
    </row>
    <row r="107" spans="7:8" x14ac:dyDescent="0.3">
      <c r="G107" s="3"/>
      <c r="H107" s="3"/>
    </row>
    <row r="108" spans="7:8" x14ac:dyDescent="0.3">
      <c r="G108" s="3"/>
      <c r="H108" s="3"/>
    </row>
    <row r="109" spans="7:8" x14ac:dyDescent="0.3">
      <c r="G109" s="3"/>
      <c r="H109" s="3"/>
    </row>
    <row r="110" spans="7:8" x14ac:dyDescent="0.3">
      <c r="G110" s="3"/>
      <c r="H110" s="3"/>
    </row>
    <row r="111" spans="7:8" x14ac:dyDescent="0.3">
      <c r="G111" s="3"/>
      <c r="H111" s="3"/>
    </row>
    <row r="112" spans="7:8" x14ac:dyDescent="0.3">
      <c r="G112" s="3"/>
      <c r="H112" s="3"/>
    </row>
    <row r="113" spans="7:8" x14ac:dyDescent="0.3">
      <c r="G113" s="3"/>
      <c r="H113" s="3"/>
    </row>
  </sheetData>
  <autoFilter ref="A1:O13" xr:uid="{00000000-0001-0000-0000-000000000000}"/>
  <phoneticPr fontId="5" type="noConversion"/>
  <dataValidations count="2">
    <dataValidation type="list" allowBlank="1" showInputMessage="1" showErrorMessage="1" sqref="C2:C13" xr:uid="{C91EB8B8-41C2-4874-A2E2-D04F341227F2}">
      <formula1>Vorlagen</formula1>
    </dataValidation>
    <dataValidation type="list" allowBlank="1" showInputMessage="1" showErrorMessage="1" sqref="N2:N13" xr:uid="{2E8CF0F0-5DD2-44E8-BD43-C6A7B5021B54}">
      <formula1>BusinessUnits</formula1>
    </dataValidation>
  </dataValidations>
  <pageMargins left="0.7" right="0.7" top="0.78740157499999996" bottom="0.78740157499999996" header="0.3" footer="0.3"/>
  <pageSetup paperSize="9" scale="38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Tabelle2"/>
  <dimension ref="A1:C47"/>
  <sheetViews>
    <sheetView workbookViewId="0">
      <selection activeCell="B2" sqref="B2"/>
    </sheetView>
  </sheetViews>
  <sheetFormatPr baseColWidth="10" defaultColWidth="11.44140625" defaultRowHeight="14.4" x14ac:dyDescent="0.3"/>
  <cols>
    <col min="1" max="1" width="40.44140625" customWidth="1"/>
    <col min="2" max="2" width="42" customWidth="1"/>
  </cols>
  <sheetData>
    <row r="1" spans="1:3" x14ac:dyDescent="0.3">
      <c r="A1" t="s">
        <v>66</v>
      </c>
      <c r="B1" t="s">
        <v>93</v>
      </c>
      <c r="C1" t="s">
        <v>3</v>
      </c>
    </row>
    <row r="2" spans="1:3" x14ac:dyDescent="0.3">
      <c r="A2" t="s">
        <v>67</v>
      </c>
      <c r="B2" t="s">
        <v>96</v>
      </c>
      <c r="C2" t="s">
        <v>4</v>
      </c>
    </row>
    <row r="3" spans="1:3" x14ac:dyDescent="0.3">
      <c r="A3" t="s">
        <v>68</v>
      </c>
      <c r="B3" t="s">
        <v>97</v>
      </c>
      <c r="C3" t="s">
        <v>5</v>
      </c>
    </row>
    <row r="4" spans="1:3" x14ac:dyDescent="0.3">
      <c r="A4" t="s">
        <v>69</v>
      </c>
      <c r="B4" t="s">
        <v>25</v>
      </c>
      <c r="C4" t="s">
        <v>6</v>
      </c>
    </row>
    <row r="5" spans="1:3" x14ac:dyDescent="0.3">
      <c r="A5" t="s">
        <v>70</v>
      </c>
      <c r="B5" t="s">
        <v>94</v>
      </c>
      <c r="C5" t="s">
        <v>7</v>
      </c>
    </row>
    <row r="6" spans="1:3" x14ac:dyDescent="0.3">
      <c r="A6" t="s">
        <v>95</v>
      </c>
    </row>
    <row r="7" spans="1:3" x14ac:dyDescent="0.3">
      <c r="A7" t="s">
        <v>26</v>
      </c>
    </row>
    <row r="8" spans="1:3" x14ac:dyDescent="0.3">
      <c r="A8" t="s">
        <v>71</v>
      </c>
    </row>
    <row r="15" spans="1:3" x14ac:dyDescent="0.3">
      <c r="A15" t="s">
        <v>30</v>
      </c>
      <c r="B15" t="s">
        <v>27</v>
      </c>
    </row>
    <row r="16" spans="1:3" x14ac:dyDescent="0.3">
      <c r="A16" t="s">
        <v>48</v>
      </c>
      <c r="B16" s="9" t="s">
        <v>28</v>
      </c>
      <c r="C16" s="9" t="str">
        <f>CONCATENATE(B16,"-",A16,"-24-",D16)</f>
        <v>0001-EN-24-</v>
      </c>
    </row>
    <row r="17" spans="1:3" x14ac:dyDescent="0.3">
      <c r="A17" t="s">
        <v>48</v>
      </c>
      <c r="B17" s="9" t="s">
        <v>29</v>
      </c>
      <c r="C17" s="9" t="str">
        <f t="shared" ref="C17:C47" si="0">CONCATENATE(B17,"-",A17,"-24-",D17)</f>
        <v>0002-EN-24-</v>
      </c>
    </row>
    <row r="18" spans="1:3" x14ac:dyDescent="0.3">
      <c r="A18" t="s">
        <v>48</v>
      </c>
      <c r="B18" s="9" t="s">
        <v>31</v>
      </c>
      <c r="C18" s="9" t="str">
        <f t="shared" si="0"/>
        <v>0003-EN-24-</v>
      </c>
    </row>
    <row r="19" spans="1:3" x14ac:dyDescent="0.3">
      <c r="A19" t="s">
        <v>48</v>
      </c>
      <c r="B19" s="9" t="s">
        <v>32</v>
      </c>
      <c r="C19" s="9" t="str">
        <f t="shared" si="0"/>
        <v>0004-EN-24-</v>
      </c>
    </row>
    <row r="20" spans="1:3" x14ac:dyDescent="0.3">
      <c r="A20" t="s">
        <v>49</v>
      </c>
      <c r="B20" s="9" t="s">
        <v>33</v>
      </c>
      <c r="C20" s="9" t="str">
        <f t="shared" si="0"/>
        <v>0005-SO-24-</v>
      </c>
    </row>
    <row r="21" spans="1:3" x14ac:dyDescent="0.3">
      <c r="A21" t="s">
        <v>49</v>
      </c>
      <c r="B21" s="9" t="s">
        <v>34</v>
      </c>
      <c r="C21" s="9" t="str">
        <f t="shared" si="0"/>
        <v>0006-SO-24-</v>
      </c>
    </row>
    <row r="22" spans="1:3" x14ac:dyDescent="0.3">
      <c r="A22" t="s">
        <v>49</v>
      </c>
      <c r="B22" s="9" t="s">
        <v>35</v>
      </c>
      <c r="C22" s="9" t="str">
        <f t="shared" si="0"/>
        <v>0007-SO-24-</v>
      </c>
    </row>
    <row r="23" spans="1:3" x14ac:dyDescent="0.3">
      <c r="A23" t="s">
        <v>49</v>
      </c>
      <c r="B23" s="9" t="s">
        <v>36</v>
      </c>
      <c r="C23" s="9" t="str">
        <f t="shared" si="0"/>
        <v>0008-SO-24-</v>
      </c>
    </row>
    <row r="24" spans="1:3" x14ac:dyDescent="0.3">
      <c r="A24" t="s">
        <v>51</v>
      </c>
      <c r="B24" s="9" t="s">
        <v>37</v>
      </c>
      <c r="C24" s="9" t="str">
        <f t="shared" si="0"/>
        <v>0009-GO-24-</v>
      </c>
    </row>
    <row r="25" spans="1:3" x14ac:dyDescent="0.3">
      <c r="A25" t="s">
        <v>51</v>
      </c>
      <c r="B25" s="9" t="s">
        <v>38</v>
      </c>
      <c r="C25" s="9" t="str">
        <f t="shared" si="0"/>
        <v>0010-GO-24-</v>
      </c>
    </row>
    <row r="26" spans="1:3" x14ac:dyDescent="0.3">
      <c r="A26" t="s">
        <v>51</v>
      </c>
      <c r="B26" s="9" t="s">
        <v>39</v>
      </c>
      <c r="C26" s="9" t="str">
        <f t="shared" si="0"/>
        <v>0011-GO-24-</v>
      </c>
    </row>
    <row r="27" spans="1:3" x14ac:dyDescent="0.3">
      <c r="A27" t="s">
        <v>51</v>
      </c>
      <c r="B27" s="9" t="s">
        <v>40</v>
      </c>
      <c r="C27" s="9" t="str">
        <f t="shared" si="0"/>
        <v>0012-GO-24-</v>
      </c>
    </row>
    <row r="28" spans="1:3" x14ac:dyDescent="0.3">
      <c r="A28" t="s">
        <v>52</v>
      </c>
      <c r="B28" s="9" t="s">
        <v>41</v>
      </c>
      <c r="C28" s="9" t="str">
        <f t="shared" si="0"/>
        <v>0013-CY-24-</v>
      </c>
    </row>
    <row r="29" spans="1:3" x14ac:dyDescent="0.3">
      <c r="A29" t="s">
        <v>52</v>
      </c>
      <c r="B29" s="9" t="s">
        <v>42</v>
      </c>
      <c r="C29" s="9" t="str">
        <f t="shared" si="0"/>
        <v>0014-CY-24-</v>
      </c>
    </row>
    <row r="30" spans="1:3" x14ac:dyDescent="0.3">
      <c r="A30" t="s">
        <v>52</v>
      </c>
      <c r="B30" s="9" t="s">
        <v>43</v>
      </c>
      <c r="C30" s="9" t="str">
        <f t="shared" si="0"/>
        <v>0015-CY-24-</v>
      </c>
    </row>
    <row r="31" spans="1:3" x14ac:dyDescent="0.3">
      <c r="A31" t="s">
        <v>52</v>
      </c>
      <c r="B31" s="9" t="s">
        <v>44</v>
      </c>
      <c r="C31" s="9" t="str">
        <f t="shared" si="0"/>
        <v>0016-CY-24-</v>
      </c>
    </row>
    <row r="32" spans="1:3" x14ac:dyDescent="0.3">
      <c r="A32" t="s">
        <v>52</v>
      </c>
      <c r="B32" s="9" t="s">
        <v>45</v>
      </c>
      <c r="C32" s="9" t="str">
        <f t="shared" si="0"/>
        <v>0017-CY-24-</v>
      </c>
    </row>
    <row r="33" spans="1:3" x14ac:dyDescent="0.3">
      <c r="A33" t="s">
        <v>52</v>
      </c>
      <c r="B33" s="9" t="s">
        <v>46</v>
      </c>
      <c r="C33" s="9" t="str">
        <f t="shared" si="0"/>
        <v>0018-CY-24-</v>
      </c>
    </row>
    <row r="34" spans="1:3" x14ac:dyDescent="0.3">
      <c r="A34" t="s">
        <v>52</v>
      </c>
      <c r="B34" s="9" t="s">
        <v>47</v>
      </c>
      <c r="C34" s="9" t="str">
        <f t="shared" si="0"/>
        <v>0019-CY-24-</v>
      </c>
    </row>
    <row r="35" spans="1:3" x14ac:dyDescent="0.3">
      <c r="A35" t="s">
        <v>52</v>
      </c>
      <c r="B35" s="9" t="s">
        <v>53</v>
      </c>
      <c r="C35" s="9" t="str">
        <f t="shared" si="0"/>
        <v>0020-CY-24-</v>
      </c>
    </row>
    <row r="36" spans="1:3" x14ac:dyDescent="0.3">
      <c r="A36" t="s">
        <v>52</v>
      </c>
      <c r="B36" s="9" t="s">
        <v>54</v>
      </c>
      <c r="C36" s="9" t="str">
        <f t="shared" si="0"/>
        <v>0021-CY-24-</v>
      </c>
    </row>
    <row r="37" spans="1:3" x14ac:dyDescent="0.3">
      <c r="A37" t="s">
        <v>24</v>
      </c>
      <c r="B37" s="9" t="s">
        <v>55</v>
      </c>
      <c r="C37" s="9" t="str">
        <f t="shared" si="0"/>
        <v>0022-AI-24-</v>
      </c>
    </row>
    <row r="38" spans="1:3" x14ac:dyDescent="0.3">
      <c r="A38" t="s">
        <v>24</v>
      </c>
      <c r="B38" s="9" t="s">
        <v>56</v>
      </c>
      <c r="C38" s="9" t="str">
        <f t="shared" si="0"/>
        <v>0023-AI-24-</v>
      </c>
    </row>
    <row r="39" spans="1:3" x14ac:dyDescent="0.3">
      <c r="A39" t="s">
        <v>24</v>
      </c>
      <c r="B39" s="9" t="s">
        <v>57</v>
      </c>
      <c r="C39" s="9" t="str">
        <f t="shared" si="0"/>
        <v>0024-AI-24-</v>
      </c>
    </row>
    <row r="40" spans="1:3" x14ac:dyDescent="0.3">
      <c r="A40" t="s">
        <v>50</v>
      </c>
      <c r="B40" s="9" t="s">
        <v>58</v>
      </c>
      <c r="C40" s="9" t="str">
        <f t="shared" si="0"/>
        <v>0025-DI-24-</v>
      </c>
    </row>
    <row r="41" spans="1:3" x14ac:dyDescent="0.3">
      <c r="A41" t="s">
        <v>50</v>
      </c>
      <c r="B41" s="9" t="s">
        <v>59</v>
      </c>
      <c r="C41" s="9" t="str">
        <f t="shared" si="0"/>
        <v>0026-DI-24-</v>
      </c>
    </row>
    <row r="42" spans="1:3" x14ac:dyDescent="0.3">
      <c r="A42" t="s">
        <v>50</v>
      </c>
      <c r="B42" s="9" t="s">
        <v>60</v>
      </c>
      <c r="C42" s="9" t="str">
        <f t="shared" si="0"/>
        <v>0027-DI-24-</v>
      </c>
    </row>
    <row r="43" spans="1:3" x14ac:dyDescent="0.3">
      <c r="A43" t="s">
        <v>50</v>
      </c>
      <c r="B43" s="9" t="s">
        <v>61</v>
      </c>
      <c r="C43" s="9" t="str">
        <f t="shared" si="0"/>
        <v>0028-DI-24-</v>
      </c>
    </row>
    <row r="44" spans="1:3" x14ac:dyDescent="0.3">
      <c r="A44" t="s">
        <v>50</v>
      </c>
      <c r="B44" s="9" t="s">
        <v>62</v>
      </c>
      <c r="C44" s="9" t="str">
        <f t="shared" si="0"/>
        <v>0029-DI-24-</v>
      </c>
    </row>
    <row r="45" spans="1:3" x14ac:dyDescent="0.3">
      <c r="A45" t="s">
        <v>50</v>
      </c>
      <c r="B45" s="9" t="s">
        <v>63</v>
      </c>
      <c r="C45" s="9" t="str">
        <f t="shared" si="0"/>
        <v>0030-DI-24-</v>
      </c>
    </row>
    <row r="46" spans="1:3" x14ac:dyDescent="0.3">
      <c r="A46" t="s">
        <v>50</v>
      </c>
      <c r="B46" s="9" t="s">
        <v>64</v>
      </c>
      <c r="C46" s="9" t="str">
        <f t="shared" si="0"/>
        <v>0031-DI-24-</v>
      </c>
    </row>
    <row r="47" spans="1:3" x14ac:dyDescent="0.3">
      <c r="A47" t="s">
        <v>50</v>
      </c>
      <c r="B47" s="9" t="s">
        <v>65</v>
      </c>
      <c r="C47" s="9" t="str">
        <f t="shared" si="0"/>
        <v>0032-DI-24-</v>
      </c>
    </row>
  </sheetData>
  <phoneticPr fontId="5" type="noConversion"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2</vt:i4>
      </vt:variant>
      <vt:variant>
        <vt:lpstr>Benannte Bereiche</vt:lpstr>
      </vt:variant>
      <vt:variant>
        <vt:i4>3</vt:i4>
      </vt:variant>
    </vt:vector>
  </HeadingPairs>
  <TitlesOfParts>
    <vt:vector size="5" baseType="lpstr">
      <vt:lpstr>Batch List</vt:lpstr>
      <vt:lpstr>Tabelle2</vt:lpstr>
      <vt:lpstr>'Batch List'!BusinessUnits</vt:lpstr>
      <vt:lpstr>'Batch List'!faktor</vt:lpstr>
      <vt:lpstr>'Batch List'!Vorlagen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</dc:creator>
  <cp:lastModifiedBy>Thomas Koytek</cp:lastModifiedBy>
  <cp:lastPrinted>2016-06-03T07:27:28Z</cp:lastPrinted>
  <dcterms:created xsi:type="dcterms:W3CDTF">2013-07-04T14:15:10Z</dcterms:created>
  <dcterms:modified xsi:type="dcterms:W3CDTF">2026-01-21T15:44:29Z</dcterms:modified>
</cp:coreProperties>
</file>