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always" codeName="DieseArbeitsmappe" defaultThemeVersion="124226"/>
  <bookViews>
    <workbookView showSheetTabs="0" xWindow="120" yWindow="255" windowWidth="15600" windowHeight="11580"/>
  </bookViews>
  <sheets>
    <sheet name="Einstellungen" sheetId="4" r:id="rId1"/>
    <sheet name="Projektdefinition Ressourcen" sheetId="5" state="hidden" r:id="rId2"/>
    <sheet name="Projektdefinition Kosten" sheetId="6" state="hidden" r:id="rId3"/>
    <sheet name="Portfolio" sheetId="7" state="hidden" r:id="rId4"/>
  </sheets>
  <externalReferences>
    <externalReference r:id="rId5"/>
  </externalReferences>
  <definedNames>
    <definedName name="AmpelGelb">Einstellungen!$B$52</definedName>
    <definedName name="AmpelGruen">Einstellungen!$B$51</definedName>
    <definedName name="AmpelNichtBewertet">Einstellungen!$B$54</definedName>
    <definedName name="AmpelRot">Einstellungen!$B$53</definedName>
    <definedName name="Arbeitstage_pro_Monat">Einstellungen!$B$38</definedName>
    <definedName name="awin_Kosten_Definition">Einstellungen!$B$23:$B$27</definedName>
    <definedName name="awin_Phasen_Definition">Einstellungen!$B$6:$B$12</definedName>
    <definedName name="awin_Projekt_Definition">Einstellungen!#REF!</definedName>
    <definedName name="awin_Rollen_Definition">Einstellungen!$B$15:$B$21</definedName>
    <definedName name="_xlnm.Database">Einstellungen!$B$61</definedName>
    <definedName name="EinzelRessourcenExport">Einstellungen!$B$65</definedName>
    <definedName name="Ergebnisfarbe1">Einstellungen!$B$46</definedName>
    <definedName name="Ergebnisfarbe2">Einstellungen!$B$47</definedName>
    <definedName name="Farbe_externe_Ressourcen">Einstellungen!$B$40</definedName>
    <definedName name="Farbe_für_Projekte_ohne_Vorlage">Einstellungen!$B$41</definedName>
    <definedName name="Farbe_intern_ohne_Projekte">Einstellungen!$B$39</definedName>
    <definedName name="Farbe_Ress_Kost_Werte">Einstellungen!$B$42</definedName>
    <definedName name="GlowColor">Einstellungen!$B$55</definedName>
    <definedName name="kapaEinheit">Einstellungen!$B$59</definedName>
    <definedName name="Linker_Rand_Ressourcen_Diagramme">Einstellungen!$B$34</definedName>
    <definedName name="Max_Dauer_eines_Projektes">Einstellungen!$B$33</definedName>
    <definedName name="NoShow_Time_Zone_Color">Einstellungen!$B$37</definedName>
    <definedName name="offsetEinheit">Einstellungen!$B$60</definedName>
    <definedName name="P1_CostDefinition">'Projektdefinition Kosten'!$A$2:$A$18</definedName>
    <definedName name="P1_Definition">'Projektdefinition Ressourcen'!$A$2:$A$19</definedName>
    <definedName name="P2_CostDefinition">'Projektdefinition Kosten'!$A$21:$A$31</definedName>
    <definedName name="P2_Definition">'Projektdefinition Ressourcen'!$A$22:$A$36</definedName>
    <definedName name="P3_CostDefinition">'Projektdefinition Kosten'!$A$34:$A$43</definedName>
    <definedName name="P3_Definition">'Projektdefinition Ressourcen'!$A$39:$A$50</definedName>
    <definedName name="P4_CostDefinition" localSheetId="3">'[1]Projektdefinition Kosten'!#REF!</definedName>
    <definedName name="P4_CostDefinition">'Projektdefinition Kosten'!#REF!</definedName>
    <definedName name="P4_Definition" localSheetId="3">'[1]Projektdefinition Ressourcen'!#REF!</definedName>
    <definedName name="P4_Definition" localSheetId="2">'[1]Projektdefinition Ressourcen'!#REF!</definedName>
    <definedName name="P4_Definition">'Projektdefinition Ressourcen'!#REF!</definedName>
    <definedName name="P5_CostDefinition" localSheetId="3">'[1]Projektdefinition Kosten'!#REF!</definedName>
    <definedName name="P5_CostDefinition">'Projektdefinition Kosten'!#REF!</definedName>
    <definedName name="P5_Definition" localSheetId="3">'[1]Projektdefinition Ressourcen'!#REF!</definedName>
    <definedName name="P5_Definition" localSheetId="2">'[1]Projektdefinition Ressourcen'!#REF!</definedName>
    <definedName name="P5_Definition">'Projektdefinition Ressourcen'!#REF!</definedName>
    <definedName name="Projektliste">Portfolio!$A$23</definedName>
    <definedName name="Rechter_Rand_Ressourcen_Diagramme">Einstellungen!$B$35</definedName>
    <definedName name="Show_Time_Zone_Color">Einstellungen!$B$36</definedName>
    <definedName name="Soll_Ist_Farbe_Aktuell">Einstellungen!$B$50</definedName>
    <definedName name="Soll_Ist_Farbe_Beauftragung">Einstellungen!$B$48</definedName>
    <definedName name="Soll_Ist_Farbe_letzte_Freigabe">Einstellungen!$B$49</definedName>
    <definedName name="Spaltenbreite">Einstellungen!$B$64</definedName>
    <definedName name="Start_Kalender">Einstellungen!$B$57</definedName>
    <definedName name="Vergleichsfarbe1">Einstellungen!$B$43</definedName>
    <definedName name="Vergleichsfarbe2">Einstellungen!$B$44</definedName>
    <definedName name="Vergleichsfarbe3">Einstellungen!$B$45</definedName>
    <definedName name="WeightStrategicFit">Einstellungen!$B$56</definedName>
    <definedName name="Zeilenhoehe1">Einstellungen!$B$62</definedName>
    <definedName name="Zeilenhoehe2">Einstellungen!$B$63</definedName>
    <definedName name="Zeiteinheit">Einstellungen!$B$58</definedName>
  </definedNames>
  <calcPr calcId="145621"/>
</workbook>
</file>

<file path=xl/calcChain.xml><?xml version="1.0" encoding="utf-8"?>
<calcChain xmlns="http://schemas.openxmlformats.org/spreadsheetml/2006/main">
  <c r="F20" i="4" l="1"/>
  <c r="F19" i="4"/>
  <c r="C20" i="4"/>
  <c r="C19" i="4"/>
  <c r="C18" i="4"/>
  <c r="C17" i="4"/>
  <c r="F16" i="4" l="1"/>
  <c r="G16" i="4" s="1"/>
  <c r="H16" i="4" s="1"/>
  <c r="I16" i="4" s="1"/>
  <c r="J16" i="4" s="1"/>
  <c r="K16" i="4" s="1"/>
  <c r="L16" i="4" s="1"/>
  <c r="M16" i="4" s="1"/>
  <c r="N16" i="4" s="1"/>
  <c r="O16" i="4" s="1"/>
  <c r="P16" i="4" s="1"/>
  <c r="Q16" i="4" l="1"/>
  <c r="R16" i="4" s="1"/>
  <c r="S16" i="4" s="1"/>
  <c r="T16" i="4" s="1"/>
  <c r="U16" i="4" s="1"/>
  <c r="V16" i="4" s="1"/>
  <c r="W16" i="4" s="1"/>
  <c r="X16" i="4" s="1"/>
  <c r="Y16" i="4" s="1"/>
  <c r="Z16" i="4" s="1"/>
  <c r="AA16" i="4" s="1"/>
  <c r="AB16" i="4" s="1"/>
  <c r="AC16" i="4" s="1"/>
  <c r="AD16" i="4" s="1"/>
  <c r="AE16" i="4" s="1"/>
  <c r="AF16" i="4" s="1"/>
  <c r="AG16" i="4" s="1"/>
  <c r="AH16" i="4" s="1"/>
  <c r="AI16" i="4" s="1"/>
  <c r="AJ16" i="4" s="1"/>
  <c r="AK16" i="4" s="1"/>
  <c r="AL16" i="4" s="1"/>
  <c r="AM16" i="4" s="1"/>
  <c r="AN16" i="4" s="1"/>
  <c r="AO16" i="4" s="1"/>
  <c r="AP16" i="4" s="1"/>
  <c r="AQ16" i="4" s="1"/>
  <c r="AR16" i="4" s="1"/>
  <c r="AS16" i="4" s="1"/>
  <c r="AT16" i="4" s="1"/>
  <c r="AU16" i="4" s="1"/>
  <c r="AV16" i="4" s="1"/>
  <c r="AW16" i="4" s="1"/>
  <c r="AX16" i="4" s="1"/>
  <c r="AY16" i="4" s="1"/>
  <c r="AZ16" i="4" s="1"/>
  <c r="BA16" i="4" s="1"/>
  <c r="BB16" i="4" s="1"/>
  <c r="BC16" i="4" s="1"/>
  <c r="BD16" i="4" s="1"/>
  <c r="BE16" i="4" s="1"/>
  <c r="BF16" i="4" s="1"/>
  <c r="BG16" i="4" s="1"/>
  <c r="BH16" i="4" s="1"/>
  <c r="BI16" i="4" s="1"/>
  <c r="BJ16" i="4" s="1"/>
  <c r="BK16" i="4" s="1"/>
  <c r="BL16" i="4" s="1"/>
  <c r="BM16" i="4" s="1"/>
  <c r="BN16" i="4" s="1"/>
  <c r="BO16" i="4" s="1"/>
  <c r="BP16" i="4" s="1"/>
  <c r="BQ16" i="4" s="1"/>
  <c r="BR16" i="4" s="1"/>
  <c r="BS16" i="4" s="1"/>
  <c r="BT16" i="4" s="1"/>
  <c r="BU16" i="4" s="1"/>
  <c r="BV16" i="4" s="1"/>
  <c r="BW16" i="4" s="1"/>
  <c r="BX16" i="4" s="1"/>
  <c r="BY16" i="4" s="1"/>
  <c r="BZ16" i="4" s="1"/>
  <c r="CA16" i="4" s="1"/>
  <c r="CB16" i="4" s="1"/>
  <c r="CC16" i="4" s="1"/>
  <c r="CD16" i="4" s="1"/>
  <c r="CE16" i="4" s="1"/>
  <c r="CF16" i="4" s="1"/>
  <c r="CG16" i="4" s="1"/>
  <c r="CH16" i="4" s="1"/>
  <c r="CI16" i="4" s="1"/>
  <c r="CJ16" i="4" s="1"/>
  <c r="CK16" i="4" s="1"/>
  <c r="CL16" i="4" s="1"/>
  <c r="CM16" i="4" s="1"/>
  <c r="CN16" i="4" s="1"/>
  <c r="CO16" i="4" s="1"/>
  <c r="CP16" i="4" s="1"/>
  <c r="CQ16" i="4" s="1"/>
  <c r="CR16" i="4" s="1"/>
  <c r="CS16" i="4" s="1"/>
  <c r="CT16" i="4" s="1"/>
  <c r="CU16" i="4" s="1"/>
  <c r="CV16" i="4" s="1"/>
  <c r="CW16" i="4" s="1"/>
  <c r="CX16" i="4" s="1"/>
  <c r="CY16" i="4" s="1"/>
  <c r="CZ16" i="4" s="1"/>
  <c r="DA16" i="4" s="1"/>
  <c r="DB16" i="4" s="1"/>
  <c r="DC16" i="4" s="1"/>
  <c r="DD16" i="4" s="1"/>
  <c r="DE16" i="4" s="1"/>
  <c r="DF16" i="4" s="1"/>
  <c r="DG16" i="4" s="1"/>
  <c r="DH16" i="4" s="1"/>
  <c r="DI16" i="4" s="1"/>
  <c r="DJ16" i="4" s="1"/>
  <c r="DK16" i="4" s="1"/>
  <c r="DL16" i="4" s="1"/>
  <c r="DM16" i="4" s="1"/>
  <c r="DN16" i="4" s="1"/>
  <c r="DO16" i="4" s="1"/>
  <c r="DP16" i="4" s="1"/>
  <c r="DQ16" i="4" s="1"/>
  <c r="DR16" i="4" s="1"/>
  <c r="DS16" i="4" s="1"/>
  <c r="DT16" i="4" s="1"/>
  <c r="DU16" i="4" s="1"/>
  <c r="DV16" i="4" s="1"/>
  <c r="DW16" i="4" s="1"/>
  <c r="DX16" i="4" s="1"/>
  <c r="DY16" i="4" s="1"/>
  <c r="DZ16" i="4" s="1"/>
  <c r="EA16" i="4" s="1"/>
  <c r="EB16" i="4" s="1"/>
  <c r="EC16" i="4" s="1"/>
  <c r="ED16" i="4" s="1"/>
  <c r="EE16" i="4" s="1"/>
  <c r="EF16" i="4" s="1"/>
  <c r="EG16" i="4" s="1"/>
  <c r="G20" i="4" l="1"/>
  <c r="H20" i="4" s="1"/>
  <c r="I20" i="4" s="1"/>
  <c r="J20" i="4" s="1"/>
  <c r="K20" i="4" s="1"/>
  <c r="L20" i="4" s="1"/>
  <c r="M20" i="4" s="1"/>
  <c r="N20" i="4" s="1"/>
  <c r="O20" i="4" s="1"/>
  <c r="P20" i="4" s="1"/>
  <c r="AI20" i="4" s="1"/>
  <c r="AJ20" i="4" s="1"/>
  <c r="AK20" i="4" s="1"/>
  <c r="AL20" i="4" s="1"/>
  <c r="AM20" i="4" s="1"/>
  <c r="AN20" i="4" s="1"/>
  <c r="AO20" i="4" s="1"/>
  <c r="AP20" i="4" s="1"/>
  <c r="AQ20" i="4" s="1"/>
  <c r="AR20" i="4" s="1"/>
  <c r="AS20" i="4" s="1"/>
  <c r="AT20" i="4" s="1"/>
  <c r="AU20" i="4" s="1"/>
  <c r="AV20" i="4" s="1"/>
  <c r="AW20" i="4" s="1"/>
  <c r="AX20" i="4" s="1"/>
  <c r="AY20" i="4" s="1"/>
  <c r="AZ20" i="4" s="1"/>
  <c r="BA20" i="4" s="1"/>
  <c r="BB20" i="4" s="1"/>
  <c r="BC20" i="4" s="1"/>
  <c r="BD20" i="4" s="1"/>
  <c r="BE20" i="4" s="1"/>
  <c r="BF20" i="4" s="1"/>
  <c r="BG20" i="4" s="1"/>
  <c r="BH20" i="4" s="1"/>
  <c r="BI20" i="4" s="1"/>
  <c r="BJ20" i="4" s="1"/>
  <c r="BK20" i="4" s="1"/>
  <c r="BL20" i="4" s="1"/>
  <c r="BM20" i="4" s="1"/>
  <c r="BN20" i="4" s="1"/>
  <c r="BO20" i="4" s="1"/>
  <c r="BP20" i="4" s="1"/>
  <c r="BQ20" i="4" s="1"/>
  <c r="BR20" i="4" s="1"/>
  <c r="BS20" i="4" s="1"/>
  <c r="BT20" i="4" s="1"/>
  <c r="BU20" i="4" s="1"/>
  <c r="BV20" i="4" s="1"/>
  <c r="BW20" i="4" s="1"/>
  <c r="BX20" i="4" s="1"/>
  <c r="BY20" i="4" s="1"/>
  <c r="BZ20" i="4" s="1"/>
  <c r="CA20" i="4" s="1"/>
  <c r="CB20" i="4" s="1"/>
  <c r="CC20" i="4" s="1"/>
  <c r="CD20" i="4" s="1"/>
  <c r="CE20" i="4" s="1"/>
  <c r="CF20" i="4" s="1"/>
  <c r="CG20" i="4" s="1"/>
  <c r="CH20" i="4" s="1"/>
  <c r="CI20" i="4" s="1"/>
  <c r="CJ20" i="4" s="1"/>
  <c r="CK20" i="4" s="1"/>
  <c r="CL20" i="4" s="1"/>
  <c r="CM20" i="4" s="1"/>
  <c r="CN20" i="4" s="1"/>
  <c r="CO20" i="4" s="1"/>
  <c r="CP20" i="4" s="1"/>
  <c r="CQ20" i="4" s="1"/>
  <c r="CR20" i="4" s="1"/>
  <c r="CS20" i="4" s="1"/>
  <c r="CT20" i="4" s="1"/>
  <c r="CU20" i="4" s="1"/>
  <c r="CV20" i="4" s="1"/>
  <c r="CW20" i="4" s="1"/>
  <c r="CX20" i="4" s="1"/>
  <c r="CY20" i="4" s="1"/>
  <c r="CZ20" i="4" s="1"/>
  <c r="DA20" i="4" s="1"/>
  <c r="DB20" i="4" s="1"/>
  <c r="DC20" i="4" s="1"/>
  <c r="DD20" i="4" s="1"/>
  <c r="DE20" i="4" s="1"/>
  <c r="DF20" i="4" s="1"/>
  <c r="DG20" i="4" s="1"/>
  <c r="DH20" i="4" s="1"/>
  <c r="DI20" i="4" s="1"/>
  <c r="DJ20" i="4" s="1"/>
  <c r="DK20" i="4" s="1"/>
  <c r="DL20" i="4" s="1"/>
  <c r="DM20" i="4" s="1"/>
  <c r="DN20" i="4" s="1"/>
  <c r="DO20" i="4" s="1"/>
  <c r="DP20" i="4" s="1"/>
  <c r="DQ20" i="4" s="1"/>
  <c r="DR20" i="4" s="1"/>
  <c r="DS20" i="4" s="1"/>
  <c r="DT20" i="4" s="1"/>
  <c r="DU20" i="4" s="1"/>
  <c r="DV20" i="4" s="1"/>
  <c r="DW20" i="4" s="1"/>
  <c r="DX20" i="4" s="1"/>
  <c r="DY20" i="4" s="1"/>
  <c r="DZ20" i="4" s="1"/>
  <c r="EA20" i="4" s="1"/>
  <c r="EB20" i="4" s="1"/>
  <c r="EC20" i="4" s="1"/>
  <c r="ED20" i="4" s="1"/>
  <c r="EE20" i="4" s="1"/>
  <c r="EF20" i="4" s="1"/>
  <c r="EG20" i="4" s="1"/>
  <c r="G19" i="4" l="1"/>
  <c r="H19" i="4" s="1"/>
  <c r="I19" i="4" s="1"/>
  <c r="J19" i="4" s="1"/>
  <c r="K19" i="4" s="1"/>
  <c r="L19" i="4" s="1"/>
  <c r="M19" i="4" s="1"/>
  <c r="N19" i="4" s="1"/>
  <c r="O19" i="4" s="1"/>
  <c r="P19" i="4" s="1"/>
  <c r="AI19" i="4" s="1"/>
  <c r="AJ19" i="4" s="1"/>
  <c r="AK19" i="4" s="1"/>
  <c r="AL19" i="4" s="1"/>
  <c r="AM19" i="4" s="1"/>
  <c r="AN19" i="4" s="1"/>
  <c r="AO19" i="4" s="1"/>
  <c r="AP19" i="4" s="1"/>
  <c r="AQ19" i="4" s="1"/>
  <c r="AR19" i="4" s="1"/>
  <c r="AS19" i="4" s="1"/>
  <c r="AT19" i="4" s="1"/>
  <c r="AU19" i="4" s="1"/>
  <c r="AV19" i="4" s="1"/>
  <c r="AW19" i="4" s="1"/>
  <c r="AX19" i="4" s="1"/>
  <c r="AY19" i="4" s="1"/>
  <c r="AZ19" i="4" s="1"/>
  <c r="BA19" i="4" s="1"/>
  <c r="BB19" i="4" s="1"/>
  <c r="BC19" i="4" s="1"/>
  <c r="BD19" i="4" s="1"/>
  <c r="BE19" i="4" s="1"/>
  <c r="BF19" i="4" s="1"/>
  <c r="BG19" i="4" s="1"/>
  <c r="BH19" i="4" s="1"/>
  <c r="BI19" i="4" s="1"/>
  <c r="BJ19" i="4" s="1"/>
  <c r="BK19" i="4" s="1"/>
  <c r="BL19" i="4" s="1"/>
  <c r="BM19" i="4" s="1"/>
  <c r="BN19" i="4" s="1"/>
  <c r="BO19" i="4" s="1"/>
  <c r="BP19" i="4" s="1"/>
  <c r="BQ19" i="4" s="1"/>
  <c r="BR19" i="4" s="1"/>
  <c r="BS19" i="4" s="1"/>
  <c r="BT19" i="4" s="1"/>
  <c r="BU19" i="4" s="1"/>
  <c r="BV19" i="4" s="1"/>
  <c r="BW19" i="4" s="1"/>
  <c r="BX19" i="4" s="1"/>
  <c r="BY19" i="4" s="1"/>
  <c r="BZ19" i="4" s="1"/>
  <c r="CA19" i="4" s="1"/>
  <c r="CB19" i="4" s="1"/>
  <c r="CC19" i="4" s="1"/>
  <c r="CD19" i="4" s="1"/>
  <c r="CE19" i="4" s="1"/>
  <c r="CF19" i="4" s="1"/>
  <c r="CG19" i="4" s="1"/>
  <c r="CH19" i="4" s="1"/>
  <c r="CI19" i="4" s="1"/>
  <c r="CJ19" i="4" s="1"/>
  <c r="CK19" i="4" s="1"/>
  <c r="CL19" i="4" s="1"/>
  <c r="CM19" i="4" s="1"/>
  <c r="CN19" i="4" s="1"/>
  <c r="CO19" i="4" s="1"/>
  <c r="CP19" i="4" s="1"/>
  <c r="CQ19" i="4" s="1"/>
  <c r="CR19" i="4" s="1"/>
  <c r="CS19" i="4" s="1"/>
  <c r="CT19" i="4" s="1"/>
  <c r="CU19" i="4" s="1"/>
  <c r="CV19" i="4" s="1"/>
  <c r="CW19" i="4" s="1"/>
  <c r="CX19" i="4" s="1"/>
  <c r="CY19" i="4" s="1"/>
  <c r="CZ19" i="4" s="1"/>
  <c r="DA19" i="4" s="1"/>
  <c r="DB19" i="4" s="1"/>
  <c r="DC19" i="4" s="1"/>
  <c r="DD19" i="4" s="1"/>
  <c r="DE19" i="4" s="1"/>
  <c r="DF19" i="4" s="1"/>
  <c r="DG19" i="4" s="1"/>
  <c r="DH19" i="4" s="1"/>
  <c r="DI19" i="4" s="1"/>
  <c r="DJ19" i="4" s="1"/>
  <c r="DK19" i="4" s="1"/>
  <c r="DL19" i="4" s="1"/>
  <c r="DM19" i="4" s="1"/>
  <c r="DN19" i="4" s="1"/>
  <c r="DO19" i="4" s="1"/>
  <c r="DP19" i="4" s="1"/>
  <c r="DQ19" i="4" s="1"/>
  <c r="DR19" i="4" s="1"/>
  <c r="DS19" i="4" s="1"/>
  <c r="DT19" i="4" s="1"/>
  <c r="DU19" i="4" s="1"/>
  <c r="DV19" i="4" s="1"/>
  <c r="DW19" i="4" s="1"/>
  <c r="DX19" i="4" s="1"/>
  <c r="DY19" i="4" s="1"/>
  <c r="DZ19" i="4" s="1"/>
  <c r="EA19" i="4" s="1"/>
  <c r="EB19" i="4" s="1"/>
  <c r="EC19" i="4" s="1"/>
  <c r="ED19" i="4" s="1"/>
  <c r="EE19" i="4" s="1"/>
  <c r="EF19" i="4" s="1"/>
  <c r="EG19" i="4" s="1"/>
  <c r="F18" i="4"/>
  <c r="G18" i="4" s="1"/>
  <c r="H18" i="4" s="1"/>
  <c r="I18" i="4" s="1"/>
  <c r="J18" i="4" s="1"/>
  <c r="K18" i="4" s="1"/>
  <c r="L18" i="4" s="1"/>
  <c r="M18" i="4" s="1"/>
  <c r="N18" i="4" s="1"/>
  <c r="O18" i="4" s="1"/>
  <c r="P18" i="4" s="1"/>
  <c r="AI18" i="4" s="1"/>
  <c r="AJ18" i="4" s="1"/>
  <c r="AK18" i="4" s="1"/>
  <c r="AL18" i="4" s="1"/>
  <c r="AM18" i="4" s="1"/>
  <c r="AN18" i="4" s="1"/>
  <c r="AO18" i="4" s="1"/>
  <c r="AP18" i="4" s="1"/>
  <c r="AQ18" i="4" s="1"/>
  <c r="AR18" i="4" s="1"/>
  <c r="AS18" i="4" s="1"/>
  <c r="AT18" i="4" s="1"/>
  <c r="AU18" i="4" s="1"/>
  <c r="AV18" i="4" s="1"/>
  <c r="AW18" i="4" s="1"/>
  <c r="AX18" i="4" s="1"/>
  <c r="AY18" i="4" s="1"/>
  <c r="AZ18" i="4" s="1"/>
  <c r="BA18" i="4" s="1"/>
  <c r="BB18" i="4" s="1"/>
  <c r="BC18" i="4" s="1"/>
  <c r="BD18" i="4" s="1"/>
  <c r="BE18" i="4" s="1"/>
  <c r="BF18" i="4" s="1"/>
  <c r="BG18" i="4" s="1"/>
  <c r="BH18" i="4" s="1"/>
  <c r="BI18" i="4" s="1"/>
  <c r="BJ18" i="4" s="1"/>
  <c r="BK18" i="4" s="1"/>
  <c r="BL18" i="4" s="1"/>
  <c r="BM18" i="4" s="1"/>
  <c r="BN18" i="4" s="1"/>
  <c r="BO18" i="4" s="1"/>
  <c r="BP18" i="4" s="1"/>
  <c r="BQ18" i="4" s="1"/>
  <c r="BR18" i="4" s="1"/>
  <c r="BS18" i="4" s="1"/>
  <c r="BT18" i="4" s="1"/>
  <c r="BU18" i="4" s="1"/>
  <c r="BV18" i="4" s="1"/>
  <c r="BW18" i="4" s="1"/>
  <c r="BX18" i="4" s="1"/>
  <c r="BY18" i="4" s="1"/>
  <c r="BZ18" i="4" s="1"/>
  <c r="CA18" i="4" s="1"/>
  <c r="CB18" i="4" s="1"/>
  <c r="CC18" i="4" s="1"/>
  <c r="CD18" i="4" s="1"/>
  <c r="CE18" i="4" s="1"/>
  <c r="CF18" i="4" s="1"/>
  <c r="CG18" i="4" s="1"/>
  <c r="CH18" i="4" s="1"/>
  <c r="CI18" i="4" s="1"/>
  <c r="CJ18" i="4" s="1"/>
  <c r="CK18" i="4" s="1"/>
  <c r="CL18" i="4" s="1"/>
  <c r="CM18" i="4" s="1"/>
  <c r="CN18" i="4" s="1"/>
  <c r="CO18" i="4" s="1"/>
  <c r="CP18" i="4" s="1"/>
  <c r="CQ18" i="4" s="1"/>
  <c r="CR18" i="4" s="1"/>
  <c r="CS18" i="4" s="1"/>
  <c r="CT18" i="4" s="1"/>
  <c r="CU18" i="4" s="1"/>
  <c r="CV18" i="4" s="1"/>
  <c r="CW18" i="4" s="1"/>
  <c r="CX18" i="4" s="1"/>
  <c r="CY18" i="4" s="1"/>
  <c r="CZ18" i="4" s="1"/>
  <c r="DA18" i="4" s="1"/>
  <c r="DB18" i="4" s="1"/>
  <c r="DC18" i="4" s="1"/>
  <c r="DD18" i="4" s="1"/>
  <c r="DE18" i="4" s="1"/>
  <c r="DF18" i="4" s="1"/>
  <c r="DG18" i="4" s="1"/>
  <c r="DH18" i="4" s="1"/>
  <c r="DI18" i="4" s="1"/>
  <c r="DJ18" i="4" s="1"/>
  <c r="DK18" i="4" s="1"/>
  <c r="DL18" i="4" s="1"/>
  <c r="DM18" i="4" s="1"/>
  <c r="DN18" i="4" s="1"/>
  <c r="DO18" i="4" s="1"/>
  <c r="DP18" i="4" s="1"/>
  <c r="DQ18" i="4" s="1"/>
  <c r="DR18" i="4" s="1"/>
  <c r="DS18" i="4" s="1"/>
  <c r="DT18" i="4" s="1"/>
  <c r="DU18" i="4" s="1"/>
  <c r="DV18" i="4" s="1"/>
  <c r="DW18" i="4" s="1"/>
  <c r="DX18" i="4" s="1"/>
  <c r="DY18" i="4" s="1"/>
  <c r="DZ18" i="4" s="1"/>
  <c r="EA18" i="4" s="1"/>
  <c r="EB18" i="4" s="1"/>
  <c r="EC18" i="4" s="1"/>
  <c r="ED18" i="4" s="1"/>
  <c r="EE18" i="4" s="1"/>
  <c r="EF18" i="4" s="1"/>
  <c r="EG18" i="4" s="1"/>
  <c r="F17" i="4"/>
  <c r="G17" i="4" s="1"/>
  <c r="H17" i="4" s="1"/>
  <c r="I17" i="4" s="1"/>
  <c r="J17" i="4" s="1"/>
  <c r="K17" i="4" s="1"/>
  <c r="L17" i="4" s="1"/>
  <c r="M17" i="4" s="1"/>
  <c r="N17" i="4" s="1"/>
  <c r="O17" i="4" s="1"/>
  <c r="P17" i="4" s="1"/>
  <c r="AH17" i="4" s="1"/>
  <c r="AI17" i="4" s="1"/>
  <c r="AJ17" i="4" s="1"/>
  <c r="AK17" i="4" s="1"/>
  <c r="AL17" i="4" s="1"/>
  <c r="AM17" i="4" s="1"/>
  <c r="AN17" i="4" s="1"/>
  <c r="AO17" i="4" s="1"/>
  <c r="AP17" i="4" s="1"/>
  <c r="AQ17" i="4" s="1"/>
  <c r="AR17" i="4" s="1"/>
  <c r="AS17" i="4" s="1"/>
  <c r="AT17" i="4" s="1"/>
  <c r="AU17" i="4" s="1"/>
  <c r="AV17" i="4" s="1"/>
  <c r="AW17" i="4" s="1"/>
  <c r="AX17" i="4" s="1"/>
  <c r="AY17" i="4" s="1"/>
  <c r="AZ17" i="4" s="1"/>
  <c r="BA17" i="4" s="1"/>
  <c r="BB17" i="4" s="1"/>
  <c r="BC17" i="4" s="1"/>
  <c r="BD17" i="4" s="1"/>
  <c r="BE17" i="4" s="1"/>
  <c r="BF17" i="4" s="1"/>
  <c r="BG17" i="4" s="1"/>
  <c r="BH17" i="4" s="1"/>
  <c r="BI17" i="4" s="1"/>
  <c r="BJ17" i="4" s="1"/>
  <c r="BK17" i="4" s="1"/>
  <c r="BL17" i="4" s="1"/>
  <c r="BM17" i="4" s="1"/>
  <c r="BN17" i="4" s="1"/>
  <c r="BO17" i="4" s="1"/>
  <c r="BP17" i="4" s="1"/>
  <c r="BQ17" i="4" s="1"/>
  <c r="BR17" i="4" s="1"/>
  <c r="BS17" i="4" s="1"/>
  <c r="BT17" i="4" s="1"/>
  <c r="BU17" i="4" s="1"/>
  <c r="BV17" i="4" s="1"/>
  <c r="BW17" i="4" s="1"/>
  <c r="BX17" i="4" s="1"/>
  <c r="BY17" i="4" s="1"/>
  <c r="BZ17" i="4" s="1"/>
  <c r="CA17" i="4" s="1"/>
  <c r="CB17" i="4" s="1"/>
  <c r="CC17" i="4" s="1"/>
  <c r="CD17" i="4" s="1"/>
  <c r="CE17" i="4" s="1"/>
  <c r="CF17" i="4" s="1"/>
  <c r="CG17" i="4" s="1"/>
  <c r="CH17" i="4" s="1"/>
  <c r="CI17" i="4" s="1"/>
  <c r="CJ17" i="4" s="1"/>
  <c r="CK17" i="4" s="1"/>
  <c r="CL17" i="4" s="1"/>
  <c r="CM17" i="4" s="1"/>
  <c r="CN17" i="4" s="1"/>
  <c r="CO17" i="4" s="1"/>
  <c r="CP17" i="4" s="1"/>
  <c r="CQ17" i="4" s="1"/>
  <c r="CR17" i="4" s="1"/>
  <c r="CS17" i="4" s="1"/>
  <c r="CT17" i="4" s="1"/>
  <c r="CU17" i="4" s="1"/>
  <c r="CV17" i="4" s="1"/>
  <c r="CW17" i="4" s="1"/>
  <c r="CX17" i="4" s="1"/>
  <c r="CY17" i="4" s="1"/>
  <c r="CZ17" i="4" s="1"/>
  <c r="DA17" i="4" s="1"/>
  <c r="DB17" i="4" s="1"/>
  <c r="DC17" i="4" s="1"/>
  <c r="DD17" i="4" s="1"/>
  <c r="DE17" i="4" s="1"/>
  <c r="DF17" i="4" s="1"/>
  <c r="DG17" i="4" s="1"/>
  <c r="DH17" i="4" s="1"/>
  <c r="DI17" i="4" s="1"/>
  <c r="DJ17" i="4" s="1"/>
  <c r="DK17" i="4" s="1"/>
  <c r="DL17" i="4" s="1"/>
  <c r="DM17" i="4" s="1"/>
  <c r="DN17" i="4" s="1"/>
  <c r="DO17" i="4" s="1"/>
  <c r="DP17" i="4" s="1"/>
  <c r="DQ17" i="4" s="1"/>
  <c r="DR17" i="4" s="1"/>
  <c r="DS17" i="4" s="1"/>
  <c r="DT17" i="4" s="1"/>
  <c r="DU17" i="4" s="1"/>
  <c r="DV17" i="4" s="1"/>
  <c r="DW17" i="4" s="1"/>
  <c r="DX17" i="4" s="1"/>
  <c r="DY17" i="4" s="1"/>
  <c r="DZ17" i="4" s="1"/>
  <c r="EA17" i="4" s="1"/>
  <c r="EB17" i="4" s="1"/>
  <c r="EC17" i="4" s="1"/>
  <c r="ED17" i="4" s="1"/>
  <c r="EE17" i="4" s="1"/>
  <c r="EF17" i="4" s="1"/>
  <c r="EG17" i="4" s="1"/>
  <c r="F15" i="4" l="1"/>
</calcChain>
</file>

<file path=xl/comments1.xml><?xml version="1.0" encoding="utf-8"?>
<comments xmlns="http://schemas.openxmlformats.org/spreadsheetml/2006/main">
  <authors>
    <author>tom</author>
  </authors>
  <commentList>
    <comment ref="B61" authorId="0">
      <text>
        <r>
          <rPr>
            <b/>
            <sz val="9"/>
            <color indexed="81"/>
            <rFont val="Tahoma"/>
            <charset val="1"/>
          </rPr>
          <t>tom:</t>
        </r>
        <r>
          <rPr>
            <sz val="9"/>
            <color indexed="81"/>
            <rFont val="Tahoma"/>
            <charset val="1"/>
          </rPr>
          <t xml:space="preserve">
ist bereits befüllt</t>
        </r>
      </text>
    </comment>
    <comment ref="L61" authorId="0">
      <text>
        <r>
          <rPr>
            <b/>
            <sz val="9"/>
            <color indexed="81"/>
            <rFont val="Tahoma"/>
            <charset val="1"/>
          </rPr>
          <t>tom:</t>
        </r>
        <r>
          <rPr>
            <sz val="9"/>
            <color indexed="81"/>
            <rFont val="Tahoma"/>
            <charset val="1"/>
          </rPr>
          <t xml:space="preserve">
ist bereits befüllt</t>
        </r>
      </text>
    </comment>
  </commentList>
</comments>
</file>

<file path=xl/sharedStrings.xml><?xml version="1.0" encoding="utf-8"?>
<sst xmlns="http://schemas.openxmlformats.org/spreadsheetml/2006/main" count="240" uniqueCount="134">
  <si>
    <t xml:space="preserve">Customization - Einstellung der Parameter </t>
  </si>
  <si>
    <t xml:space="preserve"> </t>
  </si>
  <si>
    <t>Neu-Entwicklung</t>
  </si>
  <si>
    <t>Variante</t>
  </si>
  <si>
    <t>Überarbeitung</t>
  </si>
  <si>
    <t>Phase I</t>
  </si>
  <si>
    <t>Phase II</t>
  </si>
  <si>
    <t>Phase III</t>
  </si>
  <si>
    <t>Phase IV</t>
  </si>
  <si>
    <t>Rollen-Name</t>
  </si>
  <si>
    <t xml:space="preserve">Tagessatz intern </t>
  </si>
  <si>
    <t>Tagessatz extern</t>
  </si>
  <si>
    <t>Projektleiter</t>
  </si>
  <si>
    <t>PMO-Office</t>
  </si>
  <si>
    <t>Designer</t>
  </si>
  <si>
    <t>Ton-Modelleure</t>
  </si>
  <si>
    <t>CAD-Konstrukteure</t>
  </si>
  <si>
    <t>Kosten-Arten</t>
  </si>
  <si>
    <t>IT-Kosten</t>
  </si>
  <si>
    <t>Material-Kosten</t>
  </si>
  <si>
    <t>Reise-Kosten</t>
  </si>
  <si>
    <t xml:space="preserve">neue Kostenarten bitte vor dieser Zeile einfügen </t>
  </si>
  <si>
    <t>Max_Dauer_eines_Projektes</t>
  </si>
  <si>
    <t>Linker Rand Time Zone</t>
  </si>
  <si>
    <t xml:space="preserve">Rechter Rand Time Zone </t>
  </si>
  <si>
    <t>Show Time Zone Color</t>
  </si>
  <si>
    <t>NoShow Time Zone Color</t>
  </si>
  <si>
    <t>Arbeitstage pro Monat</t>
  </si>
  <si>
    <t>Farbe für intern, ohne Projekte</t>
  </si>
  <si>
    <t>Farbe für externe Ressourcen</t>
  </si>
  <si>
    <t>Farbe für Projekte ohne Vorlage</t>
  </si>
  <si>
    <t>Farbe für Eingabe Ress Kosten</t>
  </si>
  <si>
    <t>Monate</t>
  </si>
  <si>
    <t>Skizzen</t>
  </si>
  <si>
    <t>Formfindung</t>
  </si>
  <si>
    <t>Präsentations-Modelle</t>
  </si>
  <si>
    <t>3D-Modellierung</t>
  </si>
  <si>
    <t>Name</t>
  </si>
  <si>
    <t>Projekt-Vorlage</t>
  </si>
  <si>
    <t>Start</t>
  </si>
  <si>
    <t>Dauer</t>
  </si>
  <si>
    <t>Marge</t>
  </si>
  <si>
    <t>Strategischer Fit</t>
  </si>
  <si>
    <t>Risiko</t>
  </si>
  <si>
    <t>Status</t>
  </si>
  <si>
    <t>Neu-Entwicklung 1</t>
  </si>
  <si>
    <t>beauftragt</t>
  </si>
  <si>
    <t>Neu-Entwicklung 3</t>
  </si>
  <si>
    <t>Neu-Entwicklung 4</t>
  </si>
  <si>
    <t>geplant</t>
  </si>
  <si>
    <t>Variante 1-1</t>
  </si>
  <si>
    <t>Variante 2-1</t>
  </si>
  <si>
    <t>Variante 2-2</t>
  </si>
  <si>
    <t>Variante 3-1</t>
  </si>
  <si>
    <t>Variante 2-3</t>
  </si>
  <si>
    <t>Überarbeitung 2</t>
  </si>
  <si>
    <t>Überarbeitung 3</t>
  </si>
  <si>
    <t>Überarbeitung 7</t>
  </si>
  <si>
    <t>Überarbeitung 9</t>
  </si>
  <si>
    <t>Neu-Entwicklung 2</t>
  </si>
  <si>
    <t>Überarbeitung 11</t>
  </si>
  <si>
    <t>#</t>
  </si>
  <si>
    <t>Überarbeitung 12</t>
  </si>
  <si>
    <t>Überarbeitung 16</t>
  </si>
  <si>
    <t>Variante 4-1</t>
  </si>
  <si>
    <t>Variante 4-2</t>
  </si>
  <si>
    <t>Neu-Entwicklung 6</t>
  </si>
  <si>
    <t>Überarbeitung 15</t>
  </si>
  <si>
    <t>Variante 2-5</t>
  </si>
  <si>
    <t>Überarbeitung 1</t>
  </si>
  <si>
    <t>Überarbeitung 10</t>
  </si>
  <si>
    <t>Überarbeitung 13</t>
  </si>
  <si>
    <t>Überarbeitung 14</t>
  </si>
  <si>
    <t>Überarbeitung 4</t>
  </si>
  <si>
    <t>Überarbeitung 5</t>
  </si>
  <si>
    <t>Überarbeitung 8</t>
  </si>
  <si>
    <t>Variante 1-2</t>
  </si>
  <si>
    <t>Variante 1-3</t>
  </si>
  <si>
    <t>Vergleichsfarbe1 (Beide)</t>
  </si>
  <si>
    <t>Vergleichsfarbe2 (Aktueller Stand)</t>
  </si>
  <si>
    <t>Vergleichsfarbe3 (Beauftragung/vorheriger Stand)</t>
  </si>
  <si>
    <t xml:space="preserve">Ergebnisfarbe Earned Value - ungewichtet </t>
  </si>
  <si>
    <t xml:space="preserve">Ergebnisfarbe Earned Value - gewichtet </t>
  </si>
  <si>
    <t xml:space="preserve">(Ausgleichs-)Gewicht des strategischen Fits </t>
  </si>
  <si>
    <t>Start Kalender</t>
  </si>
  <si>
    <t>Zeiteinheit</t>
  </si>
  <si>
    <t xml:space="preserve">Datenbank </t>
  </si>
  <si>
    <t>projectboard</t>
  </si>
  <si>
    <t xml:space="preserve">neue Rollen bitte vor dieser Zeile einfügen </t>
  </si>
  <si>
    <t xml:space="preserve">neue Phasen bitte vor dieser Zeile einfügen </t>
  </si>
  <si>
    <t>Zeilenhoehe1</t>
  </si>
  <si>
    <t>Zeilenhoehe2</t>
  </si>
  <si>
    <t>Spaltenbreite</t>
  </si>
  <si>
    <t>PM</t>
  </si>
  <si>
    <t>Soll-Ist Farbe Beauftragung</t>
  </si>
  <si>
    <t>Soll-Ist Farbe letzte Freigabe</t>
  </si>
  <si>
    <t>Soll-Ist Farbe Aktuell</t>
  </si>
  <si>
    <t>Ampel-Farbe Gelb</t>
  </si>
  <si>
    <t>Ampel-Farbe Rot</t>
  </si>
  <si>
    <t>Ampel-Farbe Nicht bewertet</t>
  </si>
  <si>
    <t>Ampel-Farbe Grün</t>
  </si>
  <si>
    <t>Farbe zur Kennzeichnung "importiert"</t>
  </si>
  <si>
    <t>testboard</t>
  </si>
  <si>
    <t>Fertigung1</t>
  </si>
  <si>
    <t>demofzg2</t>
  </si>
  <si>
    <t>demofzgB</t>
  </si>
  <si>
    <t>Einzel Ressourcen Export</t>
  </si>
  <si>
    <t>Kapazitätseinheit</t>
  </si>
  <si>
    <t>PT</t>
  </si>
  <si>
    <t>demoPT1</t>
  </si>
  <si>
    <t>demoPTH</t>
  </si>
  <si>
    <t>durchschn.Kapazität (PT) / Monat</t>
  </si>
  <si>
    <t>Analyst</t>
  </si>
  <si>
    <t>Entwickler</t>
  </si>
  <si>
    <t>Tester</t>
  </si>
  <si>
    <t>ITProjekte</t>
  </si>
  <si>
    <t>Projekt-Typen</t>
  </si>
  <si>
    <t>IT Entwicklungsprojekt</t>
  </si>
  <si>
    <t>IT Einführungsprojekt</t>
  </si>
  <si>
    <t>GUI Spezialist</t>
  </si>
  <si>
    <t>Architekt</t>
  </si>
  <si>
    <t>Trainings-Kosten</t>
  </si>
  <si>
    <t>ITProjekte1</t>
  </si>
  <si>
    <t>Phasen</t>
  </si>
  <si>
    <t>OffsetEinheit</t>
  </si>
  <si>
    <t>w</t>
  </si>
  <si>
    <t>Abstand Milestones wird gerechnet in … (d für Tage, w für Wochen)</t>
  </si>
  <si>
    <t>tstNewFeatures</t>
  </si>
  <si>
    <t>Konzept-Phase</t>
  </si>
  <si>
    <t>Entwicklungs-Phase</t>
  </si>
  <si>
    <t>Test-Phase</t>
  </si>
  <si>
    <t>Benchmark-Phase</t>
  </si>
  <si>
    <t>Rollout-Phase</t>
  </si>
  <si>
    <t>demoITProjekte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</si>
</sst>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3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2" borderId="0" xfId="0" applyFont="1" applyFill="1"/>
    <xf numFmtId="0" fontId="3" fillId="3" borderId="0" xfId="0" applyFont="1" applyFill="1"/>
    <xf numFmtId="0" fontId="3" fillId="4" borderId="0" xfId="0" applyFont="1" applyFill="1"/>
    <xf numFmtId="0" fontId="5" fillId="0" borderId="0" xfId="0" applyFont="1"/>
    <xf numFmtId="0" fontId="0" fillId="2" borderId="0" xfId="0" applyFill="1"/>
    <xf numFmtId="0" fontId="0" fillId="7" borderId="0" xfId="0" applyFill="1"/>
    <xf numFmtId="0" fontId="2" fillId="3" borderId="0" xfId="0" applyFont="1" applyFill="1"/>
    <xf numFmtId="0" fontId="2" fillId="2" borderId="0" xfId="0" applyFont="1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5" borderId="0" xfId="0" applyFill="1"/>
    <xf numFmtId="0" fontId="0" fillId="12" borderId="0" xfId="0" applyFill="1"/>
    <xf numFmtId="0" fontId="1" fillId="0" borderId="0" xfId="0" applyFont="1"/>
    <xf numFmtId="0" fontId="4" fillId="0" borderId="0" xfId="0" applyFont="1"/>
    <xf numFmtId="0" fontId="6" fillId="0" borderId="0" xfId="0" applyFont="1"/>
    <xf numFmtId="14" fontId="0" fillId="0" borderId="0" xfId="0" applyNumberFormat="1"/>
    <xf numFmtId="0" fontId="0" fillId="6" borderId="0" xfId="0" applyFill="1"/>
    <xf numFmtId="0" fontId="0" fillId="13" borderId="0" xfId="0" applyFill="1"/>
    <xf numFmtId="0" fontId="0" fillId="14" borderId="0" xfId="0" applyFill="1"/>
    <xf numFmtId="0" fontId="0" fillId="0" borderId="0" xfId="0" applyAlignment="1">
      <alignment horizontal="right"/>
    </xf>
    <xf numFmtId="2" fontId="0" fillId="0" borderId="0" xfId="0" applyNumberFormat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2" fillId="7" borderId="0" xfId="0" applyFont="1" applyFill="1"/>
    <xf numFmtId="0" fontId="0" fillId="19" borderId="0" xfId="0" applyFill="1"/>
    <xf numFmtId="0" fontId="2" fillId="15" borderId="0" xfId="0" applyFont="1" applyFill="1"/>
    <xf numFmtId="17" fontId="0" fillId="0" borderId="0" xfId="0" applyNumberFormat="1"/>
    <xf numFmtId="0" fontId="7" fillId="0" borderId="0" xfId="0" applyFont="1"/>
    <xf numFmtId="0" fontId="0" fillId="0" borderId="0" xfId="0" applyNumberFormat="1"/>
    <xf numFmtId="0" fontId="0" fillId="0" borderId="0" xfId="0" applyAlignment="1">
      <alignment horizontal="center"/>
    </xf>
    <xf numFmtId="0" fontId="0" fillId="20" borderId="0" xfId="0" applyFill="1"/>
    <xf numFmtId="0" fontId="0" fillId="21" borderId="0" xfId="0" applyFill="1"/>
    <xf numFmtId="0" fontId="0" fillId="18" borderId="0" xfId="0" applyFill="1"/>
    <xf numFmtId="0" fontId="8" fillId="22" borderId="0" xfId="0" applyFont="1" applyFill="1"/>
    <xf numFmtId="0" fontId="8" fillId="15" borderId="0" xfId="0" applyFont="1" applyFill="1"/>
    <xf numFmtId="0" fontId="2" fillId="6" borderId="0" xfId="0" applyFont="1" applyFill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2B800"/>
      <color rgb="FF6CBCB4"/>
      <color rgb="FF007E39"/>
      <color rgb="FF85363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rojekt-Tafel%20-%20Beispiel%20einfa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orlage"/>
      <sheetName val="Projekt Tafel"/>
      <sheetName val="Projektdefinition Ressourcen"/>
      <sheetName val="Projektdefinition Kosten"/>
      <sheetName val="Rules"/>
      <sheetName val="Rule Consistency"/>
      <sheetName val="Rule Application"/>
      <sheetName val="Einstellungen"/>
      <sheetName val="Portfolio Vorlage"/>
      <sheetName val="Portfolio"/>
      <sheetName val="Objekte"/>
      <sheetName val="Projekt editieren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Tabelle1"/>
  <dimension ref="A1:EI65"/>
  <sheetViews>
    <sheetView tabSelected="1" defaultGridColor="0" colorId="22" zoomScaleNormal="100" workbookViewId="0">
      <pane ySplit="1" topLeftCell="A23" activePane="bottomLeft" state="frozenSplit"/>
      <selection pane="bottomLeft" activeCell="AI20" sqref="AI20"/>
    </sheetView>
  </sheetViews>
  <sheetFormatPr baseColWidth="10" defaultRowHeight="15" x14ac:dyDescent="0.25"/>
  <cols>
    <col min="1" max="1" width="47.7109375" customWidth="1"/>
    <col min="2" max="2" width="30" customWidth="1"/>
    <col min="3" max="3" width="30.140625" customWidth="1"/>
    <col min="4" max="4" width="31.140625" customWidth="1"/>
    <col min="5" max="5" width="26.7109375" customWidth="1"/>
  </cols>
  <sheetData>
    <row r="1" spans="1:139" ht="21" x14ac:dyDescent="0.35">
      <c r="A1" s="31" t="s">
        <v>0</v>
      </c>
    </row>
    <row r="3" spans="1:139" x14ac:dyDescent="0.25">
      <c r="A3" t="s">
        <v>116</v>
      </c>
      <c r="B3" s="37" t="s">
        <v>117</v>
      </c>
    </row>
    <row r="4" spans="1:139" x14ac:dyDescent="0.25">
      <c r="B4" s="38" t="s">
        <v>118</v>
      </c>
    </row>
    <row r="5" spans="1:139" x14ac:dyDescent="0.25">
      <c r="A5" t="s">
        <v>1</v>
      </c>
    </row>
    <row r="6" spans="1:139" x14ac:dyDescent="0.25">
      <c r="A6" t="s">
        <v>123</v>
      </c>
    </row>
    <row r="7" spans="1:139" x14ac:dyDescent="0.25">
      <c r="B7" s="28" t="s">
        <v>128</v>
      </c>
    </row>
    <row r="8" spans="1:139" x14ac:dyDescent="0.25">
      <c r="B8" s="6" t="s">
        <v>129</v>
      </c>
    </row>
    <row r="9" spans="1:139" x14ac:dyDescent="0.25">
      <c r="B9" s="6" t="s">
        <v>131</v>
      </c>
    </row>
    <row r="10" spans="1:139" x14ac:dyDescent="0.25">
      <c r="B10" s="24" t="s">
        <v>130</v>
      </c>
    </row>
    <row r="11" spans="1:139" x14ac:dyDescent="0.25">
      <c r="B11" s="34" t="s">
        <v>132</v>
      </c>
    </row>
    <row r="12" spans="1:139" x14ac:dyDescent="0.25">
      <c r="A12" s="4" t="s">
        <v>89</v>
      </c>
    </row>
    <row r="14" spans="1:139" x14ac:dyDescent="0.25">
      <c r="A14" t="s">
        <v>1</v>
      </c>
    </row>
    <row r="15" spans="1:139" x14ac:dyDescent="0.25">
      <c r="A15" t="s">
        <v>9</v>
      </c>
      <c r="C15" s="33" t="s">
        <v>111</v>
      </c>
      <c r="D15" s="33" t="s">
        <v>10</v>
      </c>
      <c r="E15" s="33" t="s">
        <v>11</v>
      </c>
      <c r="F15" s="30">
        <f>Start_Kalender</f>
        <v>41153</v>
      </c>
      <c r="G15" s="30">
        <v>41183</v>
      </c>
      <c r="H15" s="30">
        <v>41214</v>
      </c>
      <c r="I15" s="30">
        <v>41244</v>
      </c>
      <c r="J15" s="30">
        <v>41275</v>
      </c>
      <c r="K15" s="30">
        <v>41306</v>
      </c>
      <c r="L15" s="30">
        <v>41334</v>
      </c>
      <c r="M15" s="30">
        <v>41365</v>
      </c>
      <c r="N15" s="30">
        <v>41395</v>
      </c>
      <c r="O15" s="30">
        <v>41426</v>
      </c>
      <c r="P15" s="30">
        <v>41456</v>
      </c>
      <c r="Q15" s="30">
        <v>41487</v>
      </c>
      <c r="R15" s="30">
        <v>41518</v>
      </c>
      <c r="S15" s="30">
        <v>41548</v>
      </c>
      <c r="T15" s="30">
        <v>41579</v>
      </c>
      <c r="U15" s="30">
        <v>41609</v>
      </c>
      <c r="V15" s="30">
        <v>41640</v>
      </c>
      <c r="W15" s="30">
        <v>41671</v>
      </c>
      <c r="X15" s="30">
        <v>41699</v>
      </c>
      <c r="Y15" s="30">
        <v>41730</v>
      </c>
      <c r="Z15" s="30">
        <v>41760</v>
      </c>
      <c r="AA15" s="30">
        <v>41791</v>
      </c>
      <c r="AB15" s="30">
        <v>41821</v>
      </c>
      <c r="AC15" s="30">
        <v>41852</v>
      </c>
      <c r="AD15" s="30">
        <v>41883</v>
      </c>
      <c r="AE15" s="30">
        <v>41913</v>
      </c>
      <c r="AF15" s="30">
        <v>41944</v>
      </c>
      <c r="AG15" s="30">
        <v>41974</v>
      </c>
      <c r="AH15" s="30">
        <v>42005</v>
      </c>
      <c r="AI15" s="30">
        <v>42036</v>
      </c>
      <c r="AJ15" s="30">
        <v>42064</v>
      </c>
      <c r="AK15" s="30">
        <v>42095</v>
      </c>
      <c r="AL15" s="30">
        <v>42125</v>
      </c>
      <c r="AM15" s="30">
        <v>42156</v>
      </c>
      <c r="AN15" s="30">
        <v>42186</v>
      </c>
      <c r="AO15" s="30">
        <v>42217</v>
      </c>
      <c r="AP15" s="30">
        <v>42248</v>
      </c>
      <c r="AQ15" s="30">
        <v>42278</v>
      </c>
      <c r="AR15" s="30">
        <v>42309</v>
      </c>
      <c r="AS15" s="30">
        <v>42339</v>
      </c>
      <c r="AT15" s="30">
        <v>42370</v>
      </c>
      <c r="AU15" s="30">
        <v>42401</v>
      </c>
      <c r="AV15" s="30">
        <v>42430</v>
      </c>
      <c r="AW15" s="30">
        <v>42461</v>
      </c>
      <c r="AX15" s="30">
        <v>42491</v>
      </c>
      <c r="AY15" s="30">
        <v>42522</v>
      </c>
      <c r="AZ15" s="30">
        <v>42552</v>
      </c>
      <c r="BA15" s="30">
        <v>42583</v>
      </c>
      <c r="BB15" s="30">
        <v>42614</v>
      </c>
      <c r="BC15" s="30">
        <v>42644</v>
      </c>
      <c r="BD15" s="30">
        <v>42675</v>
      </c>
      <c r="BE15" s="30">
        <v>42705</v>
      </c>
      <c r="BF15" s="30">
        <v>42736</v>
      </c>
      <c r="BG15" s="30">
        <v>42767</v>
      </c>
      <c r="BH15" s="30">
        <v>42795</v>
      </c>
      <c r="BI15" s="30">
        <v>42826</v>
      </c>
      <c r="BJ15" s="30">
        <v>42856</v>
      </c>
      <c r="BK15" s="30">
        <v>42887</v>
      </c>
      <c r="BL15" s="30">
        <v>42917</v>
      </c>
      <c r="BM15" s="30">
        <v>42948</v>
      </c>
      <c r="BN15" s="30">
        <v>42979</v>
      </c>
      <c r="BO15" s="30">
        <v>43009</v>
      </c>
      <c r="BP15" s="30">
        <v>43040</v>
      </c>
      <c r="BQ15" s="30">
        <v>43070</v>
      </c>
      <c r="BR15" s="30">
        <v>43101</v>
      </c>
      <c r="BS15" s="30">
        <v>43132</v>
      </c>
      <c r="BT15" s="30">
        <v>43160</v>
      </c>
      <c r="BU15" s="30">
        <v>43191</v>
      </c>
      <c r="BV15" s="30">
        <v>43221</v>
      </c>
      <c r="BW15" s="30">
        <v>43252</v>
      </c>
      <c r="BX15" s="30">
        <v>43282</v>
      </c>
      <c r="BY15" s="30">
        <v>43313</v>
      </c>
      <c r="BZ15" s="30">
        <v>43344</v>
      </c>
      <c r="CA15" s="30">
        <v>43374</v>
      </c>
      <c r="CB15" s="30">
        <v>43405</v>
      </c>
      <c r="CC15" s="30">
        <v>43435</v>
      </c>
      <c r="CD15" s="30">
        <v>43466</v>
      </c>
      <c r="CE15" s="30">
        <v>43497</v>
      </c>
      <c r="CF15" s="30">
        <v>43525</v>
      </c>
      <c r="CG15" s="30">
        <v>43556</v>
      </c>
      <c r="CH15" s="30">
        <v>43586</v>
      </c>
      <c r="CI15" s="30">
        <v>43617</v>
      </c>
      <c r="CJ15" s="30">
        <v>43647</v>
      </c>
      <c r="CK15" s="30">
        <v>43678</v>
      </c>
      <c r="CL15" s="30">
        <v>43709</v>
      </c>
      <c r="CM15" s="30">
        <v>43739</v>
      </c>
      <c r="CN15" s="30">
        <v>43770</v>
      </c>
      <c r="CO15" s="30">
        <v>43800</v>
      </c>
      <c r="CP15" s="30">
        <v>43831</v>
      </c>
      <c r="CQ15" s="30">
        <v>43862</v>
      </c>
      <c r="CR15" s="30">
        <v>43891</v>
      </c>
      <c r="CS15" s="30">
        <v>43922</v>
      </c>
      <c r="CT15" s="30">
        <v>43952</v>
      </c>
      <c r="CU15" s="30">
        <v>43983</v>
      </c>
      <c r="CV15" s="30">
        <v>44013</v>
      </c>
      <c r="CW15" s="30">
        <v>44044</v>
      </c>
      <c r="CX15" s="30">
        <v>44075</v>
      </c>
      <c r="CY15" s="30">
        <v>44105</v>
      </c>
      <c r="CZ15" s="30">
        <v>44136</v>
      </c>
      <c r="DA15" s="30">
        <v>44166</v>
      </c>
      <c r="DB15" s="30">
        <v>44197</v>
      </c>
      <c r="DC15" s="30">
        <v>44228</v>
      </c>
      <c r="DD15" s="30">
        <v>44256</v>
      </c>
      <c r="DE15" s="30">
        <v>44287</v>
      </c>
      <c r="DF15" s="30">
        <v>44317</v>
      </c>
      <c r="DG15" s="30">
        <v>44348</v>
      </c>
      <c r="DH15" s="30">
        <v>44378</v>
      </c>
      <c r="DI15" s="30">
        <v>44409</v>
      </c>
      <c r="DJ15" s="30">
        <v>44440</v>
      </c>
      <c r="DK15" s="30">
        <v>44470</v>
      </c>
      <c r="DL15" s="30">
        <v>44501</v>
      </c>
      <c r="DM15" s="30">
        <v>44531</v>
      </c>
      <c r="DN15" s="30">
        <v>44562</v>
      </c>
      <c r="DO15" s="30">
        <v>44593</v>
      </c>
      <c r="DP15" s="30">
        <v>44621</v>
      </c>
      <c r="DQ15" s="30">
        <v>44652</v>
      </c>
      <c r="DR15" s="30">
        <v>44682</v>
      </c>
      <c r="DS15" s="30">
        <v>44713</v>
      </c>
      <c r="DT15" s="30">
        <v>44743</v>
      </c>
      <c r="DU15" s="30">
        <v>44774</v>
      </c>
      <c r="DV15" s="30">
        <v>44805</v>
      </c>
      <c r="DW15" s="30">
        <v>44835</v>
      </c>
      <c r="DX15" s="30">
        <v>44866</v>
      </c>
      <c r="DY15" s="30">
        <v>44896</v>
      </c>
      <c r="DZ15" s="30">
        <v>44927</v>
      </c>
      <c r="EA15" s="30">
        <v>44958</v>
      </c>
      <c r="EB15" s="30">
        <v>44986</v>
      </c>
      <c r="EC15" s="30">
        <v>45017</v>
      </c>
      <c r="ED15" s="30">
        <v>45047</v>
      </c>
      <c r="EE15" s="30">
        <v>45078</v>
      </c>
      <c r="EF15" s="30">
        <v>45108</v>
      </c>
      <c r="EG15" s="30">
        <v>45139</v>
      </c>
      <c r="EH15" s="30"/>
      <c r="EI15" s="30"/>
    </row>
    <row r="16" spans="1:139" x14ac:dyDescent="0.25">
      <c r="B16" s="20" t="s">
        <v>119</v>
      </c>
      <c r="C16" s="7">
        <v>32</v>
      </c>
      <c r="D16">
        <v>370</v>
      </c>
      <c r="F16">
        <f>$C16</f>
        <v>32</v>
      </c>
      <c r="G16">
        <f t="shared" ref="G16:G20" si="0">F16</f>
        <v>32</v>
      </c>
      <c r="H16">
        <f t="shared" ref="H16:N20" si="1">G16</f>
        <v>32</v>
      </c>
      <c r="I16">
        <f t="shared" si="1"/>
        <v>32</v>
      </c>
      <c r="J16">
        <f t="shared" si="1"/>
        <v>32</v>
      </c>
      <c r="K16">
        <f t="shared" si="1"/>
        <v>32</v>
      </c>
      <c r="L16">
        <f t="shared" si="1"/>
        <v>32</v>
      </c>
      <c r="M16">
        <f t="shared" si="1"/>
        <v>32</v>
      </c>
      <c r="N16">
        <f t="shared" si="1"/>
        <v>32</v>
      </c>
      <c r="O16">
        <f t="shared" ref="O16:O20" si="2">N16</f>
        <v>32</v>
      </c>
      <c r="P16">
        <f t="shared" ref="P16:P20" si="3">O16</f>
        <v>32</v>
      </c>
      <c r="Q16">
        <f t="shared" ref="Q16" si="4">P16</f>
        <v>32</v>
      </c>
      <c r="R16">
        <f t="shared" ref="R16" si="5">Q16</f>
        <v>32</v>
      </c>
      <c r="S16">
        <f t="shared" ref="S16" si="6">R16</f>
        <v>32</v>
      </c>
      <c r="T16">
        <f t="shared" ref="T16" si="7">S16</f>
        <v>32</v>
      </c>
      <c r="U16">
        <f t="shared" ref="U16" si="8">T16</f>
        <v>32</v>
      </c>
      <c r="V16">
        <f t="shared" ref="V16" si="9">U16</f>
        <v>32</v>
      </c>
      <c r="W16">
        <f t="shared" ref="W16" si="10">V16</f>
        <v>32</v>
      </c>
      <c r="X16">
        <f t="shared" ref="X16" si="11">W16</f>
        <v>32</v>
      </c>
      <c r="Y16">
        <f t="shared" ref="Y16" si="12">X16</f>
        <v>32</v>
      </c>
      <c r="Z16">
        <f t="shared" ref="Z16" si="13">Y16</f>
        <v>32</v>
      </c>
      <c r="AA16">
        <f t="shared" ref="AA16" si="14">Z16</f>
        <v>32</v>
      </c>
      <c r="AB16">
        <f t="shared" ref="AB16" si="15">AA16</f>
        <v>32</v>
      </c>
      <c r="AC16">
        <f t="shared" ref="AC16" si="16">AB16</f>
        <v>32</v>
      </c>
      <c r="AD16">
        <f t="shared" ref="AD16" si="17">AC16</f>
        <v>32</v>
      </c>
      <c r="AE16">
        <f t="shared" ref="AE16" si="18">AD16</f>
        <v>32</v>
      </c>
      <c r="AF16">
        <f t="shared" ref="AF16" si="19">AE16</f>
        <v>32</v>
      </c>
      <c r="AG16">
        <f t="shared" ref="AG16" si="20">AF16</f>
        <v>32</v>
      </c>
      <c r="AH16">
        <f t="shared" ref="AH16:AH17" si="21">AG16</f>
        <v>32</v>
      </c>
      <c r="AI16">
        <f t="shared" ref="AI16:AI20" si="22">AH16</f>
        <v>32</v>
      </c>
      <c r="AJ16">
        <f t="shared" ref="AJ16:AJ20" si="23">AI16</f>
        <v>32</v>
      </c>
      <c r="AK16">
        <f t="shared" ref="AK16:AK20" si="24">AJ16</f>
        <v>32</v>
      </c>
      <c r="AL16">
        <f t="shared" ref="AL16:AL20" si="25">AK16</f>
        <v>32</v>
      </c>
      <c r="AM16">
        <f t="shared" ref="AM16:AM20" si="26">AL16</f>
        <v>32</v>
      </c>
      <c r="AN16">
        <f t="shared" ref="AN16:AN20" si="27">AM16</f>
        <v>32</v>
      </c>
      <c r="AO16">
        <f t="shared" ref="AO16:AO20" si="28">AN16</f>
        <v>32</v>
      </c>
      <c r="AP16">
        <f t="shared" ref="AP16:AP20" si="29">AO16</f>
        <v>32</v>
      </c>
      <c r="AQ16">
        <f t="shared" ref="AQ16:AQ20" si="30">AP16</f>
        <v>32</v>
      </c>
      <c r="AR16">
        <f t="shared" ref="AR16:AR20" si="31">AQ16</f>
        <v>32</v>
      </c>
      <c r="AS16">
        <f t="shared" ref="AS16:AS20" si="32">AR16</f>
        <v>32</v>
      </c>
      <c r="AT16">
        <f t="shared" ref="AT16:AT20" si="33">AS16</f>
        <v>32</v>
      </c>
      <c r="AU16">
        <f t="shared" ref="AU16:AU20" si="34">AT16</f>
        <v>32</v>
      </c>
      <c r="AV16">
        <f t="shared" ref="AV16:AV20" si="35">AU16</f>
        <v>32</v>
      </c>
      <c r="AW16">
        <f t="shared" ref="AW16:AW20" si="36">AV16</f>
        <v>32</v>
      </c>
      <c r="AX16">
        <f t="shared" ref="AX16:AX20" si="37">AW16</f>
        <v>32</v>
      </c>
      <c r="AY16">
        <f t="shared" ref="AY16:AY20" si="38">AX16</f>
        <v>32</v>
      </c>
      <c r="AZ16">
        <f t="shared" ref="AZ16:AZ20" si="39">AY16</f>
        <v>32</v>
      </c>
      <c r="BA16">
        <f t="shared" ref="BA16:BA20" si="40">AZ16</f>
        <v>32</v>
      </c>
      <c r="BB16">
        <f t="shared" ref="BB16:BB20" si="41">BA16</f>
        <v>32</v>
      </c>
      <c r="BC16">
        <f t="shared" ref="BC16:BC20" si="42">BB16</f>
        <v>32</v>
      </c>
      <c r="BD16">
        <f t="shared" ref="BD16:BD20" si="43">BC16</f>
        <v>32</v>
      </c>
      <c r="BE16">
        <f t="shared" ref="BE16:BE20" si="44">BD16</f>
        <v>32</v>
      </c>
      <c r="BF16">
        <f t="shared" ref="BF16:BF20" si="45">BE16</f>
        <v>32</v>
      </c>
      <c r="BG16">
        <f t="shared" ref="BG16:BG20" si="46">BF16</f>
        <v>32</v>
      </c>
      <c r="BH16">
        <f t="shared" ref="BH16:BH20" si="47">BG16</f>
        <v>32</v>
      </c>
      <c r="BI16">
        <f t="shared" ref="BI16:BI20" si="48">BH16</f>
        <v>32</v>
      </c>
      <c r="BJ16">
        <f t="shared" ref="BJ16:BJ20" si="49">BI16</f>
        <v>32</v>
      </c>
      <c r="BK16">
        <f t="shared" ref="BK16:BK20" si="50">BJ16</f>
        <v>32</v>
      </c>
      <c r="BL16">
        <f t="shared" ref="BL16:BL20" si="51">BK16</f>
        <v>32</v>
      </c>
      <c r="BM16">
        <f t="shared" ref="BM16:BM20" si="52">BL16</f>
        <v>32</v>
      </c>
      <c r="BN16">
        <f t="shared" ref="BN16:BN20" si="53">BM16</f>
        <v>32</v>
      </c>
      <c r="BO16">
        <f t="shared" ref="BO16:BO20" si="54">BN16</f>
        <v>32</v>
      </c>
      <c r="BP16">
        <f t="shared" ref="BP16:BP20" si="55">BO16</f>
        <v>32</v>
      </c>
      <c r="BQ16">
        <f t="shared" ref="BQ16:BQ20" si="56">BP16</f>
        <v>32</v>
      </c>
      <c r="BR16">
        <f t="shared" ref="BR16:BR20" si="57">BQ16</f>
        <v>32</v>
      </c>
      <c r="BS16">
        <f t="shared" ref="BS16:BS20" si="58">BR16</f>
        <v>32</v>
      </c>
      <c r="BT16">
        <f t="shared" ref="BT16:BT20" si="59">BS16</f>
        <v>32</v>
      </c>
      <c r="BU16">
        <f t="shared" ref="BU16:BU20" si="60">BT16</f>
        <v>32</v>
      </c>
      <c r="BV16">
        <f t="shared" ref="BV16:BV20" si="61">BU16</f>
        <v>32</v>
      </c>
      <c r="BW16">
        <f t="shared" ref="BW16:BW20" si="62">BV16</f>
        <v>32</v>
      </c>
      <c r="BX16">
        <f t="shared" ref="BX16:BX20" si="63">BW16</f>
        <v>32</v>
      </c>
      <c r="BY16">
        <f t="shared" ref="BY16:BY20" si="64">BX16</f>
        <v>32</v>
      </c>
      <c r="BZ16">
        <f t="shared" ref="BZ16:BZ20" si="65">BY16</f>
        <v>32</v>
      </c>
      <c r="CA16">
        <f t="shared" ref="CA16:CA20" si="66">BZ16</f>
        <v>32</v>
      </c>
      <c r="CB16">
        <f t="shared" ref="CB16:CB20" si="67">CA16</f>
        <v>32</v>
      </c>
      <c r="CC16">
        <f t="shared" ref="CC16:CC20" si="68">CB16</f>
        <v>32</v>
      </c>
      <c r="CD16">
        <f t="shared" ref="CD16:CD20" si="69">CC16</f>
        <v>32</v>
      </c>
      <c r="CE16">
        <f t="shared" ref="CE16:CE20" si="70">CD16</f>
        <v>32</v>
      </c>
      <c r="CF16">
        <f t="shared" ref="CF16:CF20" si="71">CE16</f>
        <v>32</v>
      </c>
      <c r="CG16">
        <f t="shared" ref="CG16:CG20" si="72">CF16</f>
        <v>32</v>
      </c>
      <c r="CH16">
        <f t="shared" ref="CH16:CH20" si="73">CG16</f>
        <v>32</v>
      </c>
      <c r="CI16">
        <f t="shared" ref="CI16:CI20" si="74">CH16</f>
        <v>32</v>
      </c>
      <c r="CJ16">
        <f t="shared" ref="CJ16:CJ20" si="75">CI16</f>
        <v>32</v>
      </c>
      <c r="CK16">
        <f t="shared" ref="CK16:CK20" si="76">CJ16</f>
        <v>32</v>
      </c>
      <c r="CL16">
        <f t="shared" ref="CL16:CL20" si="77">CK16</f>
        <v>32</v>
      </c>
      <c r="CM16">
        <f t="shared" ref="CM16:CM20" si="78">CL16</f>
        <v>32</v>
      </c>
      <c r="CN16">
        <f t="shared" ref="CN16:CN20" si="79">CM16</f>
        <v>32</v>
      </c>
      <c r="CO16">
        <f t="shared" ref="CO16:CO20" si="80">CN16</f>
        <v>32</v>
      </c>
      <c r="CP16">
        <f t="shared" ref="CP16:CP20" si="81">CO16</f>
        <v>32</v>
      </c>
      <c r="CQ16">
        <f t="shared" ref="CQ16:CQ20" si="82">CP16</f>
        <v>32</v>
      </c>
      <c r="CR16">
        <f t="shared" ref="CR16:CR20" si="83">CQ16</f>
        <v>32</v>
      </c>
      <c r="CS16">
        <f t="shared" ref="CS16:CS20" si="84">CR16</f>
        <v>32</v>
      </c>
      <c r="CT16">
        <f t="shared" ref="CT16:CT20" si="85">CS16</f>
        <v>32</v>
      </c>
      <c r="CU16">
        <f t="shared" ref="CU16:CU20" si="86">CT16</f>
        <v>32</v>
      </c>
      <c r="CV16">
        <f t="shared" ref="CV16:CV20" si="87">CU16</f>
        <v>32</v>
      </c>
      <c r="CW16">
        <f t="shared" ref="CW16:CW20" si="88">CV16</f>
        <v>32</v>
      </c>
      <c r="CX16">
        <f t="shared" ref="CX16:CX20" si="89">CW16</f>
        <v>32</v>
      </c>
      <c r="CY16">
        <f t="shared" ref="CY16:CY20" si="90">CX16</f>
        <v>32</v>
      </c>
      <c r="CZ16">
        <f t="shared" ref="CZ16:CZ20" si="91">CY16</f>
        <v>32</v>
      </c>
      <c r="DA16">
        <f t="shared" ref="DA16:DA20" si="92">CZ16</f>
        <v>32</v>
      </c>
      <c r="DB16">
        <f t="shared" ref="DB16:DB20" si="93">DA16</f>
        <v>32</v>
      </c>
      <c r="DC16">
        <f t="shared" ref="DC16:DC20" si="94">DB16</f>
        <v>32</v>
      </c>
      <c r="DD16">
        <f t="shared" ref="DD16:DD20" si="95">DC16</f>
        <v>32</v>
      </c>
      <c r="DE16">
        <f t="shared" ref="DE16:DE20" si="96">DD16</f>
        <v>32</v>
      </c>
      <c r="DF16">
        <f t="shared" ref="DF16:DF20" si="97">DE16</f>
        <v>32</v>
      </c>
      <c r="DG16">
        <f t="shared" ref="DG16:DG20" si="98">DF16</f>
        <v>32</v>
      </c>
      <c r="DH16">
        <f t="shared" ref="DH16:DH20" si="99">DG16</f>
        <v>32</v>
      </c>
      <c r="DI16">
        <f t="shared" ref="DI16:DI20" si="100">DH16</f>
        <v>32</v>
      </c>
      <c r="DJ16">
        <f t="shared" ref="DJ16:DJ20" si="101">DI16</f>
        <v>32</v>
      </c>
      <c r="DK16">
        <f t="shared" ref="DK16:DK20" si="102">DJ16</f>
        <v>32</v>
      </c>
      <c r="DL16">
        <f t="shared" ref="DL16:DL20" si="103">DK16</f>
        <v>32</v>
      </c>
      <c r="DM16">
        <f t="shared" ref="DM16:DM20" si="104">DL16</f>
        <v>32</v>
      </c>
      <c r="DN16">
        <f t="shared" ref="DN16:DN20" si="105">DM16</f>
        <v>32</v>
      </c>
      <c r="DO16">
        <f t="shared" ref="DO16:DO20" si="106">DN16</f>
        <v>32</v>
      </c>
      <c r="DP16">
        <f t="shared" ref="DP16:DP20" si="107">DO16</f>
        <v>32</v>
      </c>
      <c r="DQ16">
        <f t="shared" ref="DQ16:DQ20" si="108">DP16</f>
        <v>32</v>
      </c>
      <c r="DR16">
        <f t="shared" ref="DR16:DR20" si="109">DQ16</f>
        <v>32</v>
      </c>
      <c r="DS16">
        <f t="shared" ref="DS16:DS20" si="110">DR16</f>
        <v>32</v>
      </c>
      <c r="DT16">
        <f t="shared" ref="DT16:DT20" si="111">DS16</f>
        <v>32</v>
      </c>
      <c r="DU16">
        <f t="shared" ref="DU16:DU20" si="112">DT16</f>
        <v>32</v>
      </c>
      <c r="DV16">
        <f t="shared" ref="DV16:DV20" si="113">DU16</f>
        <v>32</v>
      </c>
      <c r="DW16">
        <f t="shared" ref="DW16:DW20" si="114">DV16</f>
        <v>32</v>
      </c>
      <c r="DX16">
        <f t="shared" ref="DX16:DX20" si="115">DW16</f>
        <v>32</v>
      </c>
      <c r="DY16">
        <f t="shared" ref="DY16:DY20" si="116">DX16</f>
        <v>32</v>
      </c>
      <c r="DZ16">
        <f t="shared" ref="DZ16:DZ20" si="117">DY16</f>
        <v>32</v>
      </c>
      <c r="EA16">
        <f t="shared" ref="EA16:EA20" si="118">DZ16</f>
        <v>32</v>
      </c>
      <c r="EB16">
        <f t="shared" ref="EB16:EB20" si="119">EA16</f>
        <v>32</v>
      </c>
      <c r="EC16">
        <f t="shared" ref="EC16:EC20" si="120">EB16</f>
        <v>32</v>
      </c>
      <c r="ED16">
        <f t="shared" ref="ED16:ED20" si="121">EC16</f>
        <v>32</v>
      </c>
      <c r="EE16">
        <f t="shared" ref="EE16:EE20" si="122">ED16</f>
        <v>32</v>
      </c>
      <c r="EF16">
        <f t="shared" ref="EF16:EF20" si="123">EE16</f>
        <v>32</v>
      </c>
      <c r="EG16">
        <f t="shared" ref="EG16:EG20" si="124">EF16</f>
        <v>32</v>
      </c>
    </row>
    <row r="17" spans="1:137" x14ac:dyDescent="0.25">
      <c r="B17" s="28" t="s">
        <v>112</v>
      </c>
      <c r="C17" s="7">
        <f>4*17</f>
        <v>68</v>
      </c>
      <c r="D17">
        <v>370</v>
      </c>
      <c r="F17">
        <f>$C17</f>
        <v>68</v>
      </c>
      <c r="G17">
        <f t="shared" si="0"/>
        <v>68</v>
      </c>
      <c r="H17">
        <f>G17</f>
        <v>68</v>
      </c>
      <c r="I17">
        <f t="shared" si="1"/>
        <v>68</v>
      </c>
      <c r="J17">
        <f t="shared" si="1"/>
        <v>68</v>
      </c>
      <c r="K17">
        <f t="shared" si="1"/>
        <v>68</v>
      </c>
      <c r="L17">
        <f t="shared" si="1"/>
        <v>68</v>
      </c>
      <c r="M17">
        <f t="shared" si="1"/>
        <v>68</v>
      </c>
      <c r="N17">
        <f t="shared" si="1"/>
        <v>68</v>
      </c>
      <c r="O17">
        <f t="shared" si="2"/>
        <v>68</v>
      </c>
      <c r="P17">
        <f t="shared" si="3"/>
        <v>68</v>
      </c>
      <c r="Q17">
        <v>64</v>
      </c>
      <c r="R17">
        <v>65</v>
      </c>
      <c r="S17">
        <v>65</v>
      </c>
      <c r="T17">
        <v>65</v>
      </c>
      <c r="U17">
        <v>48</v>
      </c>
      <c r="V17">
        <v>64</v>
      </c>
      <c r="W17">
        <v>58</v>
      </c>
      <c r="X17">
        <v>58</v>
      </c>
      <c r="Y17">
        <v>64</v>
      </c>
      <c r="Z17">
        <v>64</v>
      </c>
      <c r="AA17">
        <v>64</v>
      </c>
      <c r="AB17">
        <v>64</v>
      </c>
      <c r="AC17">
        <v>47</v>
      </c>
      <c r="AD17">
        <v>42</v>
      </c>
      <c r="AE17">
        <v>64</v>
      </c>
      <c r="AF17">
        <v>64</v>
      </c>
      <c r="AG17">
        <v>64</v>
      </c>
      <c r="AH17">
        <f t="shared" si="21"/>
        <v>64</v>
      </c>
      <c r="AI17">
        <f t="shared" si="22"/>
        <v>64</v>
      </c>
      <c r="AJ17">
        <f t="shared" si="23"/>
        <v>64</v>
      </c>
      <c r="AK17">
        <f t="shared" si="24"/>
        <v>64</v>
      </c>
      <c r="AL17">
        <f t="shared" si="25"/>
        <v>64</v>
      </c>
      <c r="AM17">
        <f t="shared" si="26"/>
        <v>64</v>
      </c>
      <c r="AN17">
        <f t="shared" si="27"/>
        <v>64</v>
      </c>
      <c r="AO17">
        <f t="shared" si="28"/>
        <v>64</v>
      </c>
      <c r="AP17">
        <f t="shared" si="29"/>
        <v>64</v>
      </c>
      <c r="AQ17">
        <f t="shared" si="30"/>
        <v>64</v>
      </c>
      <c r="AR17">
        <f t="shared" si="31"/>
        <v>64</v>
      </c>
      <c r="AS17">
        <f t="shared" si="32"/>
        <v>64</v>
      </c>
      <c r="AT17">
        <f t="shared" si="33"/>
        <v>64</v>
      </c>
      <c r="AU17">
        <f t="shared" si="34"/>
        <v>64</v>
      </c>
      <c r="AV17">
        <f t="shared" si="35"/>
        <v>64</v>
      </c>
      <c r="AW17">
        <f t="shared" si="36"/>
        <v>64</v>
      </c>
      <c r="AX17">
        <f t="shared" si="37"/>
        <v>64</v>
      </c>
      <c r="AY17">
        <f t="shared" si="38"/>
        <v>64</v>
      </c>
      <c r="AZ17">
        <f t="shared" si="39"/>
        <v>64</v>
      </c>
      <c r="BA17">
        <f t="shared" si="40"/>
        <v>64</v>
      </c>
      <c r="BB17">
        <f t="shared" si="41"/>
        <v>64</v>
      </c>
      <c r="BC17">
        <f t="shared" si="42"/>
        <v>64</v>
      </c>
      <c r="BD17">
        <f t="shared" si="43"/>
        <v>64</v>
      </c>
      <c r="BE17">
        <f t="shared" si="44"/>
        <v>64</v>
      </c>
      <c r="BF17">
        <f t="shared" si="45"/>
        <v>64</v>
      </c>
      <c r="BG17">
        <f t="shared" si="46"/>
        <v>64</v>
      </c>
      <c r="BH17">
        <f t="shared" si="47"/>
        <v>64</v>
      </c>
      <c r="BI17">
        <f t="shared" si="48"/>
        <v>64</v>
      </c>
      <c r="BJ17">
        <f t="shared" si="49"/>
        <v>64</v>
      </c>
      <c r="BK17">
        <f t="shared" si="50"/>
        <v>64</v>
      </c>
      <c r="BL17">
        <f t="shared" si="51"/>
        <v>64</v>
      </c>
      <c r="BM17">
        <f t="shared" si="52"/>
        <v>64</v>
      </c>
      <c r="BN17">
        <f t="shared" si="53"/>
        <v>64</v>
      </c>
      <c r="BO17">
        <f t="shared" si="54"/>
        <v>64</v>
      </c>
      <c r="BP17">
        <f t="shared" si="55"/>
        <v>64</v>
      </c>
      <c r="BQ17">
        <f t="shared" si="56"/>
        <v>64</v>
      </c>
      <c r="BR17">
        <f t="shared" si="57"/>
        <v>64</v>
      </c>
      <c r="BS17">
        <f t="shared" si="58"/>
        <v>64</v>
      </c>
      <c r="BT17">
        <f t="shared" si="59"/>
        <v>64</v>
      </c>
      <c r="BU17">
        <f t="shared" si="60"/>
        <v>64</v>
      </c>
      <c r="BV17">
        <f t="shared" si="61"/>
        <v>64</v>
      </c>
      <c r="BW17">
        <f t="shared" si="62"/>
        <v>64</v>
      </c>
      <c r="BX17">
        <f t="shared" si="63"/>
        <v>64</v>
      </c>
      <c r="BY17">
        <f t="shared" si="64"/>
        <v>64</v>
      </c>
      <c r="BZ17">
        <f t="shared" si="65"/>
        <v>64</v>
      </c>
      <c r="CA17">
        <f t="shared" si="66"/>
        <v>64</v>
      </c>
      <c r="CB17">
        <f t="shared" si="67"/>
        <v>64</v>
      </c>
      <c r="CC17">
        <f t="shared" si="68"/>
        <v>64</v>
      </c>
      <c r="CD17">
        <f t="shared" si="69"/>
        <v>64</v>
      </c>
      <c r="CE17">
        <f t="shared" si="70"/>
        <v>64</v>
      </c>
      <c r="CF17">
        <f t="shared" si="71"/>
        <v>64</v>
      </c>
      <c r="CG17">
        <f t="shared" si="72"/>
        <v>64</v>
      </c>
      <c r="CH17">
        <f t="shared" si="73"/>
        <v>64</v>
      </c>
      <c r="CI17">
        <f t="shared" si="74"/>
        <v>64</v>
      </c>
      <c r="CJ17">
        <f t="shared" si="75"/>
        <v>64</v>
      </c>
      <c r="CK17">
        <f t="shared" si="76"/>
        <v>64</v>
      </c>
      <c r="CL17">
        <f t="shared" si="77"/>
        <v>64</v>
      </c>
      <c r="CM17">
        <f t="shared" si="78"/>
        <v>64</v>
      </c>
      <c r="CN17">
        <f t="shared" si="79"/>
        <v>64</v>
      </c>
      <c r="CO17">
        <f t="shared" si="80"/>
        <v>64</v>
      </c>
      <c r="CP17">
        <f t="shared" si="81"/>
        <v>64</v>
      </c>
      <c r="CQ17">
        <f t="shared" si="82"/>
        <v>64</v>
      </c>
      <c r="CR17">
        <f t="shared" si="83"/>
        <v>64</v>
      </c>
      <c r="CS17">
        <f t="shared" si="84"/>
        <v>64</v>
      </c>
      <c r="CT17">
        <f t="shared" si="85"/>
        <v>64</v>
      </c>
      <c r="CU17">
        <f t="shared" si="86"/>
        <v>64</v>
      </c>
      <c r="CV17">
        <f t="shared" si="87"/>
        <v>64</v>
      </c>
      <c r="CW17">
        <f t="shared" si="88"/>
        <v>64</v>
      </c>
      <c r="CX17">
        <f t="shared" si="89"/>
        <v>64</v>
      </c>
      <c r="CY17">
        <f t="shared" si="90"/>
        <v>64</v>
      </c>
      <c r="CZ17">
        <f t="shared" si="91"/>
        <v>64</v>
      </c>
      <c r="DA17">
        <f t="shared" si="92"/>
        <v>64</v>
      </c>
      <c r="DB17">
        <f t="shared" si="93"/>
        <v>64</v>
      </c>
      <c r="DC17">
        <f t="shared" si="94"/>
        <v>64</v>
      </c>
      <c r="DD17">
        <f t="shared" si="95"/>
        <v>64</v>
      </c>
      <c r="DE17">
        <f t="shared" si="96"/>
        <v>64</v>
      </c>
      <c r="DF17">
        <f t="shared" si="97"/>
        <v>64</v>
      </c>
      <c r="DG17">
        <f t="shared" si="98"/>
        <v>64</v>
      </c>
      <c r="DH17">
        <f t="shared" si="99"/>
        <v>64</v>
      </c>
      <c r="DI17">
        <f t="shared" si="100"/>
        <v>64</v>
      </c>
      <c r="DJ17">
        <f t="shared" si="101"/>
        <v>64</v>
      </c>
      <c r="DK17">
        <f t="shared" si="102"/>
        <v>64</v>
      </c>
      <c r="DL17">
        <f t="shared" si="103"/>
        <v>64</v>
      </c>
      <c r="DM17">
        <f t="shared" si="104"/>
        <v>64</v>
      </c>
      <c r="DN17">
        <f t="shared" si="105"/>
        <v>64</v>
      </c>
      <c r="DO17">
        <f t="shared" si="106"/>
        <v>64</v>
      </c>
      <c r="DP17">
        <f t="shared" si="107"/>
        <v>64</v>
      </c>
      <c r="DQ17">
        <f t="shared" si="108"/>
        <v>64</v>
      </c>
      <c r="DR17">
        <f t="shared" si="109"/>
        <v>64</v>
      </c>
      <c r="DS17">
        <f t="shared" si="110"/>
        <v>64</v>
      </c>
      <c r="DT17">
        <f t="shared" si="111"/>
        <v>64</v>
      </c>
      <c r="DU17">
        <f t="shared" si="112"/>
        <v>64</v>
      </c>
      <c r="DV17">
        <f t="shared" si="113"/>
        <v>64</v>
      </c>
      <c r="DW17">
        <f t="shared" si="114"/>
        <v>64</v>
      </c>
      <c r="DX17">
        <f t="shared" si="115"/>
        <v>64</v>
      </c>
      <c r="DY17">
        <f t="shared" si="116"/>
        <v>64</v>
      </c>
      <c r="DZ17">
        <f t="shared" si="117"/>
        <v>64</v>
      </c>
      <c r="EA17">
        <f t="shared" si="118"/>
        <v>64</v>
      </c>
      <c r="EB17">
        <f t="shared" si="119"/>
        <v>64</v>
      </c>
      <c r="EC17">
        <f t="shared" si="120"/>
        <v>64</v>
      </c>
      <c r="ED17">
        <f t="shared" si="121"/>
        <v>64</v>
      </c>
      <c r="EE17">
        <f t="shared" si="122"/>
        <v>64</v>
      </c>
      <c r="EF17">
        <f t="shared" si="123"/>
        <v>64</v>
      </c>
      <c r="EG17">
        <f t="shared" si="124"/>
        <v>64</v>
      </c>
    </row>
    <row r="18" spans="1:137" x14ac:dyDescent="0.25">
      <c r="B18" s="27" t="s">
        <v>120</v>
      </c>
      <c r="C18" s="7">
        <f>3*17</f>
        <v>51</v>
      </c>
      <c r="D18">
        <v>420</v>
      </c>
      <c r="F18">
        <f>$C18</f>
        <v>51</v>
      </c>
      <c r="G18">
        <f t="shared" si="0"/>
        <v>51</v>
      </c>
      <c r="H18">
        <f t="shared" ref="H18" si="125">G18</f>
        <v>51</v>
      </c>
      <c r="I18">
        <f t="shared" si="1"/>
        <v>51</v>
      </c>
      <c r="J18">
        <f t="shared" si="1"/>
        <v>51</v>
      </c>
      <c r="K18">
        <f t="shared" si="1"/>
        <v>51</v>
      </c>
      <c r="L18">
        <f t="shared" si="1"/>
        <v>51</v>
      </c>
      <c r="M18">
        <f t="shared" si="1"/>
        <v>51</v>
      </c>
      <c r="N18">
        <f t="shared" si="1"/>
        <v>51</v>
      </c>
      <c r="O18">
        <f t="shared" si="2"/>
        <v>51</v>
      </c>
      <c r="P18">
        <f t="shared" si="3"/>
        <v>51</v>
      </c>
      <c r="Q18">
        <v>51</v>
      </c>
      <c r="R18">
        <v>51</v>
      </c>
      <c r="S18">
        <v>51</v>
      </c>
      <c r="T18">
        <v>51</v>
      </c>
      <c r="U18">
        <v>51</v>
      </c>
      <c r="V18">
        <v>51</v>
      </c>
      <c r="W18">
        <v>51</v>
      </c>
      <c r="X18">
        <v>41</v>
      </c>
      <c r="Y18">
        <v>31</v>
      </c>
      <c r="Z18">
        <v>51</v>
      </c>
      <c r="AA18">
        <v>51</v>
      </c>
      <c r="AB18">
        <v>41</v>
      </c>
      <c r="AC18">
        <v>31</v>
      </c>
      <c r="AD18">
        <v>51</v>
      </c>
      <c r="AE18">
        <v>51</v>
      </c>
      <c r="AF18">
        <v>51</v>
      </c>
      <c r="AG18">
        <v>41</v>
      </c>
      <c r="AH18">
        <v>51</v>
      </c>
      <c r="AI18">
        <f t="shared" si="22"/>
        <v>51</v>
      </c>
      <c r="AJ18">
        <f t="shared" si="23"/>
        <v>51</v>
      </c>
      <c r="AK18">
        <f t="shared" si="24"/>
        <v>51</v>
      </c>
      <c r="AL18">
        <f t="shared" si="25"/>
        <v>51</v>
      </c>
      <c r="AM18">
        <f t="shared" si="26"/>
        <v>51</v>
      </c>
      <c r="AN18">
        <f t="shared" si="27"/>
        <v>51</v>
      </c>
      <c r="AO18">
        <f t="shared" si="28"/>
        <v>51</v>
      </c>
      <c r="AP18">
        <f t="shared" si="29"/>
        <v>51</v>
      </c>
      <c r="AQ18">
        <f t="shared" si="30"/>
        <v>51</v>
      </c>
      <c r="AR18">
        <f t="shared" si="31"/>
        <v>51</v>
      </c>
      <c r="AS18">
        <f t="shared" si="32"/>
        <v>51</v>
      </c>
      <c r="AT18">
        <f t="shared" si="33"/>
        <v>51</v>
      </c>
      <c r="AU18">
        <f t="shared" si="34"/>
        <v>51</v>
      </c>
      <c r="AV18">
        <f t="shared" si="35"/>
        <v>51</v>
      </c>
      <c r="AW18">
        <f t="shared" si="36"/>
        <v>51</v>
      </c>
      <c r="AX18">
        <f t="shared" si="37"/>
        <v>51</v>
      </c>
      <c r="AY18">
        <f t="shared" si="38"/>
        <v>51</v>
      </c>
      <c r="AZ18">
        <f t="shared" si="39"/>
        <v>51</v>
      </c>
      <c r="BA18">
        <f t="shared" si="40"/>
        <v>51</v>
      </c>
      <c r="BB18">
        <f t="shared" si="41"/>
        <v>51</v>
      </c>
      <c r="BC18">
        <f t="shared" si="42"/>
        <v>51</v>
      </c>
      <c r="BD18">
        <f t="shared" si="43"/>
        <v>51</v>
      </c>
      <c r="BE18">
        <f t="shared" si="44"/>
        <v>51</v>
      </c>
      <c r="BF18">
        <f t="shared" si="45"/>
        <v>51</v>
      </c>
      <c r="BG18">
        <f t="shared" si="46"/>
        <v>51</v>
      </c>
      <c r="BH18">
        <f t="shared" si="47"/>
        <v>51</v>
      </c>
      <c r="BI18">
        <f t="shared" si="48"/>
        <v>51</v>
      </c>
      <c r="BJ18">
        <f t="shared" si="49"/>
        <v>51</v>
      </c>
      <c r="BK18">
        <f t="shared" si="50"/>
        <v>51</v>
      </c>
      <c r="BL18">
        <f t="shared" si="51"/>
        <v>51</v>
      </c>
      <c r="BM18">
        <f t="shared" si="52"/>
        <v>51</v>
      </c>
      <c r="BN18">
        <f t="shared" si="53"/>
        <v>51</v>
      </c>
      <c r="BO18">
        <f t="shared" si="54"/>
        <v>51</v>
      </c>
      <c r="BP18">
        <f t="shared" si="55"/>
        <v>51</v>
      </c>
      <c r="BQ18">
        <f t="shared" si="56"/>
        <v>51</v>
      </c>
      <c r="BR18">
        <f t="shared" si="57"/>
        <v>51</v>
      </c>
      <c r="BS18">
        <f t="shared" si="58"/>
        <v>51</v>
      </c>
      <c r="BT18">
        <f t="shared" si="59"/>
        <v>51</v>
      </c>
      <c r="BU18">
        <f t="shared" si="60"/>
        <v>51</v>
      </c>
      <c r="BV18">
        <f t="shared" si="61"/>
        <v>51</v>
      </c>
      <c r="BW18">
        <f t="shared" si="62"/>
        <v>51</v>
      </c>
      <c r="BX18">
        <f t="shared" si="63"/>
        <v>51</v>
      </c>
      <c r="BY18">
        <f t="shared" si="64"/>
        <v>51</v>
      </c>
      <c r="BZ18">
        <f t="shared" si="65"/>
        <v>51</v>
      </c>
      <c r="CA18">
        <f t="shared" si="66"/>
        <v>51</v>
      </c>
      <c r="CB18">
        <f t="shared" si="67"/>
        <v>51</v>
      </c>
      <c r="CC18">
        <f t="shared" si="68"/>
        <v>51</v>
      </c>
      <c r="CD18">
        <f t="shared" si="69"/>
        <v>51</v>
      </c>
      <c r="CE18">
        <f t="shared" si="70"/>
        <v>51</v>
      </c>
      <c r="CF18">
        <f t="shared" si="71"/>
        <v>51</v>
      </c>
      <c r="CG18">
        <f t="shared" si="72"/>
        <v>51</v>
      </c>
      <c r="CH18">
        <f t="shared" si="73"/>
        <v>51</v>
      </c>
      <c r="CI18">
        <f t="shared" si="74"/>
        <v>51</v>
      </c>
      <c r="CJ18">
        <f t="shared" si="75"/>
        <v>51</v>
      </c>
      <c r="CK18">
        <f t="shared" si="76"/>
        <v>51</v>
      </c>
      <c r="CL18">
        <f t="shared" si="77"/>
        <v>51</v>
      </c>
      <c r="CM18">
        <f t="shared" si="78"/>
        <v>51</v>
      </c>
      <c r="CN18">
        <f t="shared" si="79"/>
        <v>51</v>
      </c>
      <c r="CO18">
        <f t="shared" si="80"/>
        <v>51</v>
      </c>
      <c r="CP18">
        <f t="shared" si="81"/>
        <v>51</v>
      </c>
      <c r="CQ18">
        <f t="shared" si="82"/>
        <v>51</v>
      </c>
      <c r="CR18">
        <f t="shared" si="83"/>
        <v>51</v>
      </c>
      <c r="CS18">
        <f t="shared" si="84"/>
        <v>51</v>
      </c>
      <c r="CT18">
        <f t="shared" si="85"/>
        <v>51</v>
      </c>
      <c r="CU18">
        <f t="shared" si="86"/>
        <v>51</v>
      </c>
      <c r="CV18">
        <f t="shared" si="87"/>
        <v>51</v>
      </c>
      <c r="CW18">
        <f t="shared" si="88"/>
        <v>51</v>
      </c>
      <c r="CX18">
        <f t="shared" si="89"/>
        <v>51</v>
      </c>
      <c r="CY18">
        <f t="shared" si="90"/>
        <v>51</v>
      </c>
      <c r="CZ18">
        <f t="shared" si="91"/>
        <v>51</v>
      </c>
      <c r="DA18">
        <f t="shared" si="92"/>
        <v>51</v>
      </c>
      <c r="DB18">
        <f t="shared" si="93"/>
        <v>51</v>
      </c>
      <c r="DC18">
        <f t="shared" si="94"/>
        <v>51</v>
      </c>
      <c r="DD18">
        <f t="shared" si="95"/>
        <v>51</v>
      </c>
      <c r="DE18">
        <f t="shared" si="96"/>
        <v>51</v>
      </c>
      <c r="DF18">
        <f t="shared" si="97"/>
        <v>51</v>
      </c>
      <c r="DG18">
        <f t="shared" si="98"/>
        <v>51</v>
      </c>
      <c r="DH18">
        <f t="shared" si="99"/>
        <v>51</v>
      </c>
      <c r="DI18">
        <f t="shared" si="100"/>
        <v>51</v>
      </c>
      <c r="DJ18">
        <f t="shared" si="101"/>
        <v>51</v>
      </c>
      <c r="DK18">
        <f t="shared" si="102"/>
        <v>51</v>
      </c>
      <c r="DL18">
        <f t="shared" si="103"/>
        <v>51</v>
      </c>
      <c r="DM18">
        <f t="shared" si="104"/>
        <v>51</v>
      </c>
      <c r="DN18">
        <f t="shared" si="105"/>
        <v>51</v>
      </c>
      <c r="DO18">
        <f t="shared" si="106"/>
        <v>51</v>
      </c>
      <c r="DP18">
        <f t="shared" si="107"/>
        <v>51</v>
      </c>
      <c r="DQ18">
        <f t="shared" si="108"/>
        <v>51</v>
      </c>
      <c r="DR18">
        <f t="shared" si="109"/>
        <v>51</v>
      </c>
      <c r="DS18">
        <f t="shared" si="110"/>
        <v>51</v>
      </c>
      <c r="DT18">
        <f t="shared" si="111"/>
        <v>51</v>
      </c>
      <c r="DU18">
        <f t="shared" si="112"/>
        <v>51</v>
      </c>
      <c r="DV18">
        <f t="shared" si="113"/>
        <v>51</v>
      </c>
      <c r="DW18">
        <f t="shared" si="114"/>
        <v>51</v>
      </c>
      <c r="DX18">
        <f t="shared" si="115"/>
        <v>51</v>
      </c>
      <c r="DY18">
        <f t="shared" si="116"/>
        <v>51</v>
      </c>
      <c r="DZ18">
        <f t="shared" si="117"/>
        <v>51</v>
      </c>
      <c r="EA18">
        <f t="shared" si="118"/>
        <v>51</v>
      </c>
      <c r="EB18">
        <f t="shared" si="119"/>
        <v>51</v>
      </c>
      <c r="EC18">
        <f t="shared" si="120"/>
        <v>51</v>
      </c>
      <c r="ED18">
        <f t="shared" si="121"/>
        <v>51</v>
      </c>
      <c r="EE18">
        <f t="shared" si="122"/>
        <v>51</v>
      </c>
      <c r="EF18">
        <f t="shared" si="123"/>
        <v>51</v>
      </c>
      <c r="EG18">
        <f t="shared" si="124"/>
        <v>51</v>
      </c>
    </row>
    <row r="19" spans="1:137" x14ac:dyDescent="0.25">
      <c r="B19" s="29" t="s">
        <v>113</v>
      </c>
      <c r="C19" s="7">
        <f>8*17</f>
        <v>136</v>
      </c>
      <c r="D19">
        <v>330</v>
      </c>
      <c r="F19">
        <f>C19</f>
        <v>136</v>
      </c>
      <c r="G19">
        <f t="shared" si="0"/>
        <v>136</v>
      </c>
      <c r="H19">
        <f t="shared" ref="H19" si="126">G19</f>
        <v>136</v>
      </c>
      <c r="I19">
        <f t="shared" si="1"/>
        <v>136</v>
      </c>
      <c r="J19">
        <f t="shared" si="1"/>
        <v>136</v>
      </c>
      <c r="K19">
        <f t="shared" si="1"/>
        <v>136</v>
      </c>
      <c r="L19">
        <f t="shared" si="1"/>
        <v>136</v>
      </c>
      <c r="M19">
        <f t="shared" si="1"/>
        <v>136</v>
      </c>
      <c r="N19">
        <f t="shared" si="1"/>
        <v>136</v>
      </c>
      <c r="O19">
        <f t="shared" si="2"/>
        <v>136</v>
      </c>
      <c r="P19">
        <f t="shared" si="3"/>
        <v>136</v>
      </c>
      <c r="Q19">
        <v>144</v>
      </c>
      <c r="R19">
        <v>140</v>
      </c>
      <c r="S19">
        <v>144</v>
      </c>
      <c r="T19">
        <v>144</v>
      </c>
      <c r="U19">
        <v>126</v>
      </c>
      <c r="V19">
        <v>132</v>
      </c>
      <c r="W19">
        <v>144</v>
      </c>
      <c r="X19">
        <v>138</v>
      </c>
      <c r="Y19">
        <v>144</v>
      </c>
      <c r="Z19">
        <v>136</v>
      </c>
      <c r="AA19">
        <v>144</v>
      </c>
      <c r="AB19">
        <v>138</v>
      </c>
      <c r="AC19">
        <v>114</v>
      </c>
      <c r="AD19">
        <v>124</v>
      </c>
      <c r="AE19">
        <v>144</v>
      </c>
      <c r="AF19">
        <v>144</v>
      </c>
      <c r="AG19">
        <v>104</v>
      </c>
      <c r="AH19">
        <v>144</v>
      </c>
      <c r="AI19">
        <f t="shared" si="22"/>
        <v>144</v>
      </c>
      <c r="AJ19">
        <f t="shared" si="23"/>
        <v>144</v>
      </c>
      <c r="AK19">
        <f t="shared" si="24"/>
        <v>144</v>
      </c>
      <c r="AL19">
        <f t="shared" si="25"/>
        <v>144</v>
      </c>
      <c r="AM19">
        <f t="shared" si="26"/>
        <v>144</v>
      </c>
      <c r="AN19">
        <f t="shared" si="27"/>
        <v>144</v>
      </c>
      <c r="AO19">
        <f t="shared" si="28"/>
        <v>144</v>
      </c>
      <c r="AP19">
        <f t="shared" si="29"/>
        <v>144</v>
      </c>
      <c r="AQ19">
        <f t="shared" si="30"/>
        <v>144</v>
      </c>
      <c r="AR19">
        <f t="shared" si="31"/>
        <v>144</v>
      </c>
      <c r="AS19">
        <f t="shared" si="32"/>
        <v>144</v>
      </c>
      <c r="AT19">
        <f t="shared" si="33"/>
        <v>144</v>
      </c>
      <c r="AU19">
        <f t="shared" si="34"/>
        <v>144</v>
      </c>
      <c r="AV19">
        <f t="shared" si="35"/>
        <v>144</v>
      </c>
      <c r="AW19">
        <f t="shared" si="36"/>
        <v>144</v>
      </c>
      <c r="AX19">
        <f t="shared" si="37"/>
        <v>144</v>
      </c>
      <c r="AY19">
        <f t="shared" si="38"/>
        <v>144</v>
      </c>
      <c r="AZ19">
        <f t="shared" si="39"/>
        <v>144</v>
      </c>
      <c r="BA19">
        <f t="shared" si="40"/>
        <v>144</v>
      </c>
      <c r="BB19">
        <f t="shared" si="41"/>
        <v>144</v>
      </c>
      <c r="BC19">
        <f t="shared" si="42"/>
        <v>144</v>
      </c>
      <c r="BD19">
        <f t="shared" si="43"/>
        <v>144</v>
      </c>
      <c r="BE19">
        <f t="shared" si="44"/>
        <v>144</v>
      </c>
      <c r="BF19">
        <f t="shared" si="45"/>
        <v>144</v>
      </c>
      <c r="BG19">
        <f t="shared" si="46"/>
        <v>144</v>
      </c>
      <c r="BH19">
        <f t="shared" si="47"/>
        <v>144</v>
      </c>
      <c r="BI19">
        <f t="shared" si="48"/>
        <v>144</v>
      </c>
      <c r="BJ19">
        <f t="shared" si="49"/>
        <v>144</v>
      </c>
      <c r="BK19">
        <f t="shared" si="50"/>
        <v>144</v>
      </c>
      <c r="BL19">
        <f t="shared" si="51"/>
        <v>144</v>
      </c>
      <c r="BM19">
        <f t="shared" si="52"/>
        <v>144</v>
      </c>
      <c r="BN19">
        <f t="shared" si="53"/>
        <v>144</v>
      </c>
      <c r="BO19">
        <f t="shared" si="54"/>
        <v>144</v>
      </c>
      <c r="BP19">
        <f t="shared" si="55"/>
        <v>144</v>
      </c>
      <c r="BQ19">
        <f t="shared" si="56"/>
        <v>144</v>
      </c>
      <c r="BR19">
        <f t="shared" si="57"/>
        <v>144</v>
      </c>
      <c r="BS19">
        <f t="shared" si="58"/>
        <v>144</v>
      </c>
      <c r="BT19">
        <f t="shared" si="59"/>
        <v>144</v>
      </c>
      <c r="BU19">
        <f t="shared" si="60"/>
        <v>144</v>
      </c>
      <c r="BV19">
        <f t="shared" si="61"/>
        <v>144</v>
      </c>
      <c r="BW19">
        <f t="shared" si="62"/>
        <v>144</v>
      </c>
      <c r="BX19">
        <f t="shared" si="63"/>
        <v>144</v>
      </c>
      <c r="BY19">
        <f t="shared" si="64"/>
        <v>144</v>
      </c>
      <c r="BZ19">
        <f t="shared" si="65"/>
        <v>144</v>
      </c>
      <c r="CA19">
        <f t="shared" si="66"/>
        <v>144</v>
      </c>
      <c r="CB19">
        <f t="shared" si="67"/>
        <v>144</v>
      </c>
      <c r="CC19">
        <f t="shared" si="68"/>
        <v>144</v>
      </c>
      <c r="CD19">
        <f t="shared" si="69"/>
        <v>144</v>
      </c>
      <c r="CE19">
        <f t="shared" si="70"/>
        <v>144</v>
      </c>
      <c r="CF19">
        <f t="shared" si="71"/>
        <v>144</v>
      </c>
      <c r="CG19">
        <f t="shared" si="72"/>
        <v>144</v>
      </c>
      <c r="CH19">
        <f t="shared" si="73"/>
        <v>144</v>
      </c>
      <c r="CI19">
        <f t="shared" si="74"/>
        <v>144</v>
      </c>
      <c r="CJ19">
        <f t="shared" si="75"/>
        <v>144</v>
      </c>
      <c r="CK19">
        <f t="shared" si="76"/>
        <v>144</v>
      </c>
      <c r="CL19">
        <f t="shared" si="77"/>
        <v>144</v>
      </c>
      <c r="CM19">
        <f t="shared" si="78"/>
        <v>144</v>
      </c>
      <c r="CN19">
        <f t="shared" si="79"/>
        <v>144</v>
      </c>
      <c r="CO19">
        <f t="shared" si="80"/>
        <v>144</v>
      </c>
      <c r="CP19">
        <f t="shared" si="81"/>
        <v>144</v>
      </c>
      <c r="CQ19">
        <f t="shared" si="82"/>
        <v>144</v>
      </c>
      <c r="CR19">
        <f t="shared" si="83"/>
        <v>144</v>
      </c>
      <c r="CS19">
        <f t="shared" si="84"/>
        <v>144</v>
      </c>
      <c r="CT19">
        <f t="shared" si="85"/>
        <v>144</v>
      </c>
      <c r="CU19">
        <f t="shared" si="86"/>
        <v>144</v>
      </c>
      <c r="CV19">
        <f t="shared" si="87"/>
        <v>144</v>
      </c>
      <c r="CW19">
        <f t="shared" si="88"/>
        <v>144</v>
      </c>
      <c r="CX19">
        <f t="shared" si="89"/>
        <v>144</v>
      </c>
      <c r="CY19">
        <f t="shared" si="90"/>
        <v>144</v>
      </c>
      <c r="CZ19">
        <f t="shared" si="91"/>
        <v>144</v>
      </c>
      <c r="DA19">
        <f t="shared" si="92"/>
        <v>144</v>
      </c>
      <c r="DB19">
        <f t="shared" si="93"/>
        <v>144</v>
      </c>
      <c r="DC19">
        <f t="shared" si="94"/>
        <v>144</v>
      </c>
      <c r="DD19">
        <f t="shared" si="95"/>
        <v>144</v>
      </c>
      <c r="DE19">
        <f t="shared" si="96"/>
        <v>144</v>
      </c>
      <c r="DF19">
        <f t="shared" si="97"/>
        <v>144</v>
      </c>
      <c r="DG19">
        <f t="shared" si="98"/>
        <v>144</v>
      </c>
      <c r="DH19">
        <f t="shared" si="99"/>
        <v>144</v>
      </c>
      <c r="DI19">
        <f t="shared" si="100"/>
        <v>144</v>
      </c>
      <c r="DJ19">
        <f t="shared" si="101"/>
        <v>144</v>
      </c>
      <c r="DK19">
        <f t="shared" si="102"/>
        <v>144</v>
      </c>
      <c r="DL19">
        <f t="shared" si="103"/>
        <v>144</v>
      </c>
      <c r="DM19">
        <f t="shared" si="104"/>
        <v>144</v>
      </c>
      <c r="DN19">
        <f t="shared" si="105"/>
        <v>144</v>
      </c>
      <c r="DO19">
        <f t="shared" si="106"/>
        <v>144</v>
      </c>
      <c r="DP19">
        <f t="shared" si="107"/>
        <v>144</v>
      </c>
      <c r="DQ19">
        <f t="shared" si="108"/>
        <v>144</v>
      </c>
      <c r="DR19">
        <f t="shared" si="109"/>
        <v>144</v>
      </c>
      <c r="DS19">
        <f t="shared" si="110"/>
        <v>144</v>
      </c>
      <c r="DT19">
        <f t="shared" si="111"/>
        <v>144</v>
      </c>
      <c r="DU19">
        <f t="shared" si="112"/>
        <v>144</v>
      </c>
      <c r="DV19">
        <f t="shared" si="113"/>
        <v>144</v>
      </c>
      <c r="DW19">
        <f t="shared" si="114"/>
        <v>144</v>
      </c>
      <c r="DX19">
        <f t="shared" si="115"/>
        <v>144</v>
      </c>
      <c r="DY19">
        <f t="shared" si="116"/>
        <v>144</v>
      </c>
      <c r="DZ19">
        <f t="shared" si="117"/>
        <v>144</v>
      </c>
      <c r="EA19">
        <f t="shared" si="118"/>
        <v>144</v>
      </c>
      <c r="EB19">
        <f t="shared" si="119"/>
        <v>144</v>
      </c>
      <c r="EC19">
        <f t="shared" si="120"/>
        <v>144</v>
      </c>
      <c r="ED19">
        <f t="shared" si="121"/>
        <v>144</v>
      </c>
      <c r="EE19">
        <f t="shared" si="122"/>
        <v>144</v>
      </c>
      <c r="EF19">
        <f t="shared" si="123"/>
        <v>144</v>
      </c>
      <c r="EG19">
        <f t="shared" si="124"/>
        <v>144</v>
      </c>
    </row>
    <row r="20" spans="1:137" x14ac:dyDescent="0.25">
      <c r="B20" s="8" t="s">
        <v>114</v>
      </c>
      <c r="C20" s="7">
        <f>4*17</f>
        <v>68</v>
      </c>
      <c r="D20">
        <v>290</v>
      </c>
      <c r="F20">
        <f>C20</f>
        <v>68</v>
      </c>
      <c r="G20">
        <f t="shared" si="0"/>
        <v>68</v>
      </c>
      <c r="H20">
        <f t="shared" ref="H20" si="127">G20</f>
        <v>68</v>
      </c>
      <c r="I20">
        <f t="shared" si="1"/>
        <v>68</v>
      </c>
      <c r="J20">
        <f t="shared" si="1"/>
        <v>68</v>
      </c>
      <c r="K20">
        <f t="shared" si="1"/>
        <v>68</v>
      </c>
      <c r="L20">
        <f t="shared" si="1"/>
        <v>68</v>
      </c>
      <c r="M20">
        <f t="shared" si="1"/>
        <v>68</v>
      </c>
      <c r="N20">
        <f t="shared" si="1"/>
        <v>68</v>
      </c>
      <c r="O20">
        <f t="shared" si="2"/>
        <v>68</v>
      </c>
      <c r="P20">
        <f t="shared" si="3"/>
        <v>68</v>
      </c>
      <c r="Q20">
        <v>78</v>
      </c>
      <c r="R20">
        <v>74</v>
      </c>
      <c r="S20">
        <v>78</v>
      </c>
      <c r="T20">
        <v>78</v>
      </c>
      <c r="U20">
        <v>53</v>
      </c>
      <c r="V20">
        <v>73</v>
      </c>
      <c r="W20">
        <v>78</v>
      </c>
      <c r="X20">
        <v>72</v>
      </c>
      <c r="Y20">
        <v>78</v>
      </c>
      <c r="Z20">
        <v>78</v>
      </c>
      <c r="AA20">
        <v>78</v>
      </c>
      <c r="AB20">
        <v>72</v>
      </c>
      <c r="AC20">
        <v>78</v>
      </c>
      <c r="AD20">
        <v>78</v>
      </c>
      <c r="AE20">
        <v>78</v>
      </c>
      <c r="AF20">
        <v>78</v>
      </c>
      <c r="AG20">
        <v>48</v>
      </c>
      <c r="AH20">
        <v>78</v>
      </c>
      <c r="AI20">
        <f t="shared" si="22"/>
        <v>78</v>
      </c>
      <c r="AJ20">
        <f t="shared" si="23"/>
        <v>78</v>
      </c>
      <c r="AK20">
        <f t="shared" si="24"/>
        <v>78</v>
      </c>
      <c r="AL20">
        <f t="shared" si="25"/>
        <v>78</v>
      </c>
      <c r="AM20">
        <f t="shared" si="26"/>
        <v>78</v>
      </c>
      <c r="AN20">
        <f t="shared" si="27"/>
        <v>78</v>
      </c>
      <c r="AO20">
        <f t="shared" si="28"/>
        <v>78</v>
      </c>
      <c r="AP20">
        <f t="shared" si="29"/>
        <v>78</v>
      </c>
      <c r="AQ20">
        <f t="shared" si="30"/>
        <v>78</v>
      </c>
      <c r="AR20">
        <f t="shared" si="31"/>
        <v>78</v>
      </c>
      <c r="AS20">
        <f t="shared" si="32"/>
        <v>78</v>
      </c>
      <c r="AT20">
        <f t="shared" si="33"/>
        <v>78</v>
      </c>
      <c r="AU20">
        <f t="shared" si="34"/>
        <v>78</v>
      </c>
      <c r="AV20">
        <f t="shared" si="35"/>
        <v>78</v>
      </c>
      <c r="AW20">
        <f t="shared" si="36"/>
        <v>78</v>
      </c>
      <c r="AX20">
        <f t="shared" si="37"/>
        <v>78</v>
      </c>
      <c r="AY20">
        <f t="shared" si="38"/>
        <v>78</v>
      </c>
      <c r="AZ20">
        <f t="shared" si="39"/>
        <v>78</v>
      </c>
      <c r="BA20">
        <f t="shared" si="40"/>
        <v>78</v>
      </c>
      <c r="BB20">
        <f t="shared" si="41"/>
        <v>78</v>
      </c>
      <c r="BC20">
        <f t="shared" si="42"/>
        <v>78</v>
      </c>
      <c r="BD20">
        <f t="shared" si="43"/>
        <v>78</v>
      </c>
      <c r="BE20">
        <f t="shared" si="44"/>
        <v>78</v>
      </c>
      <c r="BF20">
        <f t="shared" si="45"/>
        <v>78</v>
      </c>
      <c r="BG20">
        <f t="shared" si="46"/>
        <v>78</v>
      </c>
      <c r="BH20">
        <f t="shared" si="47"/>
        <v>78</v>
      </c>
      <c r="BI20">
        <f t="shared" si="48"/>
        <v>78</v>
      </c>
      <c r="BJ20">
        <f t="shared" si="49"/>
        <v>78</v>
      </c>
      <c r="BK20">
        <f t="shared" si="50"/>
        <v>78</v>
      </c>
      <c r="BL20">
        <f t="shared" si="51"/>
        <v>78</v>
      </c>
      <c r="BM20">
        <f t="shared" si="52"/>
        <v>78</v>
      </c>
      <c r="BN20">
        <f t="shared" si="53"/>
        <v>78</v>
      </c>
      <c r="BO20">
        <f t="shared" si="54"/>
        <v>78</v>
      </c>
      <c r="BP20">
        <f t="shared" si="55"/>
        <v>78</v>
      </c>
      <c r="BQ20">
        <f t="shared" si="56"/>
        <v>78</v>
      </c>
      <c r="BR20">
        <f t="shared" si="57"/>
        <v>78</v>
      </c>
      <c r="BS20">
        <f t="shared" si="58"/>
        <v>78</v>
      </c>
      <c r="BT20">
        <f t="shared" si="59"/>
        <v>78</v>
      </c>
      <c r="BU20">
        <f t="shared" si="60"/>
        <v>78</v>
      </c>
      <c r="BV20">
        <f t="shared" si="61"/>
        <v>78</v>
      </c>
      <c r="BW20">
        <f t="shared" si="62"/>
        <v>78</v>
      </c>
      <c r="BX20">
        <f t="shared" si="63"/>
        <v>78</v>
      </c>
      <c r="BY20">
        <f t="shared" si="64"/>
        <v>78</v>
      </c>
      <c r="BZ20">
        <f t="shared" si="65"/>
        <v>78</v>
      </c>
      <c r="CA20">
        <f t="shared" si="66"/>
        <v>78</v>
      </c>
      <c r="CB20">
        <f t="shared" si="67"/>
        <v>78</v>
      </c>
      <c r="CC20">
        <f t="shared" si="68"/>
        <v>78</v>
      </c>
      <c r="CD20">
        <f t="shared" si="69"/>
        <v>78</v>
      </c>
      <c r="CE20">
        <f t="shared" si="70"/>
        <v>78</v>
      </c>
      <c r="CF20">
        <f t="shared" si="71"/>
        <v>78</v>
      </c>
      <c r="CG20">
        <f t="shared" si="72"/>
        <v>78</v>
      </c>
      <c r="CH20">
        <f t="shared" si="73"/>
        <v>78</v>
      </c>
      <c r="CI20">
        <f t="shared" si="74"/>
        <v>78</v>
      </c>
      <c r="CJ20">
        <f t="shared" si="75"/>
        <v>78</v>
      </c>
      <c r="CK20">
        <f t="shared" si="76"/>
        <v>78</v>
      </c>
      <c r="CL20">
        <f t="shared" si="77"/>
        <v>78</v>
      </c>
      <c r="CM20">
        <f t="shared" si="78"/>
        <v>78</v>
      </c>
      <c r="CN20">
        <f t="shared" si="79"/>
        <v>78</v>
      </c>
      <c r="CO20">
        <f t="shared" si="80"/>
        <v>78</v>
      </c>
      <c r="CP20">
        <f t="shared" si="81"/>
        <v>78</v>
      </c>
      <c r="CQ20">
        <f t="shared" si="82"/>
        <v>78</v>
      </c>
      <c r="CR20">
        <f t="shared" si="83"/>
        <v>78</v>
      </c>
      <c r="CS20">
        <f t="shared" si="84"/>
        <v>78</v>
      </c>
      <c r="CT20">
        <f t="shared" si="85"/>
        <v>78</v>
      </c>
      <c r="CU20">
        <f t="shared" si="86"/>
        <v>78</v>
      </c>
      <c r="CV20">
        <f t="shared" si="87"/>
        <v>78</v>
      </c>
      <c r="CW20">
        <f t="shared" si="88"/>
        <v>78</v>
      </c>
      <c r="CX20">
        <f t="shared" si="89"/>
        <v>78</v>
      </c>
      <c r="CY20">
        <f t="shared" si="90"/>
        <v>78</v>
      </c>
      <c r="CZ20">
        <f t="shared" si="91"/>
        <v>78</v>
      </c>
      <c r="DA20">
        <f t="shared" si="92"/>
        <v>78</v>
      </c>
      <c r="DB20">
        <f t="shared" si="93"/>
        <v>78</v>
      </c>
      <c r="DC20">
        <f t="shared" si="94"/>
        <v>78</v>
      </c>
      <c r="DD20">
        <f t="shared" si="95"/>
        <v>78</v>
      </c>
      <c r="DE20">
        <f t="shared" si="96"/>
        <v>78</v>
      </c>
      <c r="DF20">
        <f t="shared" si="97"/>
        <v>78</v>
      </c>
      <c r="DG20">
        <f t="shared" si="98"/>
        <v>78</v>
      </c>
      <c r="DH20">
        <f t="shared" si="99"/>
        <v>78</v>
      </c>
      <c r="DI20">
        <f t="shared" si="100"/>
        <v>78</v>
      </c>
      <c r="DJ20">
        <f t="shared" si="101"/>
        <v>78</v>
      </c>
      <c r="DK20">
        <f t="shared" si="102"/>
        <v>78</v>
      </c>
      <c r="DL20">
        <f t="shared" si="103"/>
        <v>78</v>
      </c>
      <c r="DM20">
        <f t="shared" si="104"/>
        <v>78</v>
      </c>
      <c r="DN20">
        <f t="shared" si="105"/>
        <v>78</v>
      </c>
      <c r="DO20">
        <f t="shared" si="106"/>
        <v>78</v>
      </c>
      <c r="DP20">
        <f t="shared" si="107"/>
        <v>78</v>
      </c>
      <c r="DQ20">
        <f t="shared" si="108"/>
        <v>78</v>
      </c>
      <c r="DR20">
        <f t="shared" si="109"/>
        <v>78</v>
      </c>
      <c r="DS20">
        <f t="shared" si="110"/>
        <v>78</v>
      </c>
      <c r="DT20">
        <f t="shared" si="111"/>
        <v>78</v>
      </c>
      <c r="DU20">
        <f t="shared" si="112"/>
        <v>78</v>
      </c>
      <c r="DV20">
        <f t="shared" si="113"/>
        <v>78</v>
      </c>
      <c r="DW20">
        <f t="shared" si="114"/>
        <v>78</v>
      </c>
      <c r="DX20">
        <f t="shared" si="115"/>
        <v>78</v>
      </c>
      <c r="DY20">
        <f t="shared" si="116"/>
        <v>78</v>
      </c>
      <c r="DZ20">
        <f t="shared" si="117"/>
        <v>78</v>
      </c>
      <c r="EA20">
        <f t="shared" si="118"/>
        <v>78</v>
      </c>
      <c r="EB20">
        <f t="shared" si="119"/>
        <v>78</v>
      </c>
      <c r="EC20">
        <f t="shared" si="120"/>
        <v>78</v>
      </c>
      <c r="ED20">
        <f t="shared" si="121"/>
        <v>78</v>
      </c>
      <c r="EE20">
        <f t="shared" si="122"/>
        <v>78</v>
      </c>
      <c r="EF20">
        <f t="shared" si="123"/>
        <v>78</v>
      </c>
      <c r="EG20">
        <f t="shared" si="124"/>
        <v>78</v>
      </c>
    </row>
    <row r="21" spans="1:137" x14ac:dyDescent="0.25">
      <c r="A21" s="4" t="s">
        <v>88</v>
      </c>
    </row>
    <row r="22" spans="1:137" x14ac:dyDescent="0.25">
      <c r="A22" s="4"/>
    </row>
    <row r="23" spans="1:137" x14ac:dyDescent="0.25">
      <c r="A23" t="s">
        <v>17</v>
      </c>
    </row>
    <row r="24" spans="1:137" x14ac:dyDescent="0.25">
      <c r="B24" s="7" t="s">
        <v>18</v>
      </c>
    </row>
    <row r="25" spans="1:137" x14ac:dyDescent="0.25">
      <c r="B25" s="8" t="s">
        <v>20</v>
      </c>
    </row>
    <row r="26" spans="1:137" x14ac:dyDescent="0.25">
      <c r="B26" s="39" t="s">
        <v>121</v>
      </c>
    </row>
    <row r="27" spans="1:137" x14ac:dyDescent="0.25">
      <c r="A27" s="4" t="s">
        <v>21</v>
      </c>
      <c r="B27" s="36"/>
    </row>
    <row r="28" spans="1:137" x14ac:dyDescent="0.25">
      <c r="A28" s="4"/>
    </row>
    <row r="29" spans="1:137" x14ac:dyDescent="0.25">
      <c r="A29" s="4"/>
    </row>
    <row r="30" spans="1:137" x14ac:dyDescent="0.25">
      <c r="A30" s="4"/>
    </row>
    <row r="31" spans="1:137" x14ac:dyDescent="0.25">
      <c r="A31" s="4"/>
    </row>
    <row r="33" spans="1:2" x14ac:dyDescent="0.25">
      <c r="A33" t="s">
        <v>22</v>
      </c>
      <c r="B33">
        <v>60</v>
      </c>
    </row>
    <row r="34" spans="1:2" x14ac:dyDescent="0.25">
      <c r="A34" t="s">
        <v>23</v>
      </c>
      <c r="B34">
        <v>9</v>
      </c>
    </row>
    <row r="35" spans="1:2" x14ac:dyDescent="0.25">
      <c r="A35" t="s">
        <v>24</v>
      </c>
      <c r="B35">
        <v>27</v>
      </c>
    </row>
    <row r="36" spans="1:2" x14ac:dyDescent="0.25">
      <c r="A36" t="s">
        <v>25</v>
      </c>
      <c r="B36" s="10"/>
    </row>
    <row r="37" spans="1:2" x14ac:dyDescent="0.25">
      <c r="A37" t="s">
        <v>26</v>
      </c>
      <c r="B37" s="11"/>
    </row>
    <row r="38" spans="1:2" x14ac:dyDescent="0.25">
      <c r="A38" t="s">
        <v>27</v>
      </c>
      <c r="B38">
        <v>20</v>
      </c>
    </row>
    <row r="39" spans="1:2" x14ac:dyDescent="0.25">
      <c r="A39" t="s">
        <v>28</v>
      </c>
      <c r="B39" s="21"/>
    </row>
    <row r="40" spans="1:2" x14ac:dyDescent="0.25">
      <c r="A40" t="s">
        <v>29</v>
      </c>
      <c r="B40" s="12"/>
    </row>
    <row r="41" spans="1:2" x14ac:dyDescent="0.25">
      <c r="A41" t="s">
        <v>30</v>
      </c>
      <c r="B41" s="13"/>
    </row>
    <row r="42" spans="1:2" x14ac:dyDescent="0.25">
      <c r="A42" t="s">
        <v>31</v>
      </c>
      <c r="B42" s="14"/>
    </row>
    <row r="43" spans="1:2" x14ac:dyDescent="0.25">
      <c r="A43" t="s">
        <v>78</v>
      </c>
      <c r="B43" s="10"/>
    </row>
    <row r="44" spans="1:2" x14ac:dyDescent="0.25">
      <c r="A44" t="s">
        <v>79</v>
      </c>
      <c r="B44" s="9"/>
    </row>
    <row r="45" spans="1:2" x14ac:dyDescent="0.25">
      <c r="A45" t="s">
        <v>80</v>
      </c>
      <c r="B45" s="19"/>
    </row>
    <row r="46" spans="1:2" x14ac:dyDescent="0.25">
      <c r="A46" t="s">
        <v>81</v>
      </c>
      <c r="B46" s="20"/>
    </row>
    <row r="47" spans="1:2" x14ac:dyDescent="0.25">
      <c r="A47" t="s">
        <v>82</v>
      </c>
      <c r="B47" s="5"/>
    </row>
    <row r="48" spans="1:2" x14ac:dyDescent="0.25">
      <c r="A48" t="s">
        <v>94</v>
      </c>
      <c r="B48" s="25"/>
    </row>
    <row r="49" spans="1:13" x14ac:dyDescent="0.25">
      <c r="A49" t="s">
        <v>95</v>
      </c>
      <c r="B49" s="24"/>
    </row>
    <row r="50" spans="1:13" x14ac:dyDescent="0.25">
      <c r="A50" t="s">
        <v>96</v>
      </c>
      <c r="B50" s="26"/>
    </row>
    <row r="51" spans="1:13" x14ac:dyDescent="0.25">
      <c r="A51" t="s">
        <v>100</v>
      </c>
      <c r="B51" s="34"/>
    </row>
    <row r="52" spans="1:13" x14ac:dyDescent="0.25">
      <c r="A52" t="s">
        <v>97</v>
      </c>
      <c r="B52" s="35"/>
    </row>
    <row r="53" spans="1:13" x14ac:dyDescent="0.25">
      <c r="A53" t="s">
        <v>98</v>
      </c>
      <c r="B53" s="36"/>
    </row>
    <row r="54" spans="1:13" x14ac:dyDescent="0.25">
      <c r="A54" t="s">
        <v>99</v>
      </c>
      <c r="B54" s="11"/>
    </row>
    <row r="55" spans="1:13" x14ac:dyDescent="0.25">
      <c r="A55" t="s">
        <v>101</v>
      </c>
      <c r="B55" s="36"/>
    </row>
    <row r="56" spans="1:13" x14ac:dyDescent="0.25">
      <c r="A56" t="s">
        <v>83</v>
      </c>
      <c r="B56">
        <v>0</v>
      </c>
    </row>
    <row r="57" spans="1:13" x14ac:dyDescent="0.25">
      <c r="A57" t="s">
        <v>84</v>
      </c>
      <c r="B57" s="18">
        <v>41153</v>
      </c>
    </row>
    <row r="58" spans="1:13" x14ac:dyDescent="0.25">
      <c r="A58" t="s">
        <v>85</v>
      </c>
      <c r="B58" s="22" t="s">
        <v>93</v>
      </c>
    </row>
    <row r="59" spans="1:13" x14ac:dyDescent="0.25">
      <c r="A59" t="s">
        <v>107</v>
      </c>
      <c r="B59" s="22" t="s">
        <v>108</v>
      </c>
    </row>
    <row r="60" spans="1:13" x14ac:dyDescent="0.25">
      <c r="A60" t="s">
        <v>124</v>
      </c>
      <c r="B60" s="22" t="s">
        <v>125</v>
      </c>
      <c r="D60" t="s">
        <v>126</v>
      </c>
    </row>
    <row r="61" spans="1:13" x14ac:dyDescent="0.25">
      <c r="A61" t="s">
        <v>86</v>
      </c>
      <c r="B61" s="22" t="s">
        <v>133</v>
      </c>
      <c r="D61" s="22" t="s">
        <v>87</v>
      </c>
      <c r="E61" s="22" t="s">
        <v>102</v>
      </c>
      <c r="F61" t="s">
        <v>103</v>
      </c>
      <c r="G61" t="s">
        <v>104</v>
      </c>
      <c r="H61" s="22" t="s">
        <v>105</v>
      </c>
      <c r="I61" s="22" t="s">
        <v>109</v>
      </c>
      <c r="J61" s="22" t="s">
        <v>110</v>
      </c>
      <c r="K61" s="22" t="s">
        <v>115</v>
      </c>
      <c r="L61" s="22" t="s">
        <v>122</v>
      </c>
      <c r="M61" s="22" t="s">
        <v>127</v>
      </c>
    </row>
    <row r="62" spans="1:13" x14ac:dyDescent="0.25">
      <c r="A62" t="s">
        <v>90</v>
      </c>
      <c r="B62" s="23">
        <v>50</v>
      </c>
    </row>
    <row r="63" spans="1:13" x14ac:dyDescent="0.25">
      <c r="A63" t="s">
        <v>91</v>
      </c>
      <c r="B63" s="23">
        <v>30</v>
      </c>
    </row>
    <row r="64" spans="1:13" x14ac:dyDescent="0.25">
      <c r="A64" t="s">
        <v>92</v>
      </c>
      <c r="B64" s="23">
        <v>3.4</v>
      </c>
    </row>
    <row r="65" spans="1:2" x14ac:dyDescent="0.25">
      <c r="A65" t="s">
        <v>106</v>
      </c>
      <c r="B65" s="32">
        <v>1</v>
      </c>
    </row>
  </sheetData>
  <dataConsolidate/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BL51"/>
  <sheetViews>
    <sheetView defaultGridColor="0" colorId="22" workbookViewId="0">
      <pane ySplit="1" topLeftCell="A2" activePane="bottomLeft" state="frozenSplit"/>
      <selection pane="bottomLeft" activeCell="D25" sqref="D25"/>
    </sheetView>
  </sheetViews>
  <sheetFormatPr baseColWidth="10" defaultRowHeight="15" x14ac:dyDescent="0.25"/>
  <cols>
    <col min="1" max="2" width="20.7109375" customWidth="1"/>
    <col min="3" max="63" width="4.28515625" customWidth="1"/>
  </cols>
  <sheetData>
    <row r="1" spans="1:64" x14ac:dyDescent="0.25">
      <c r="A1" s="15" t="s">
        <v>32</v>
      </c>
      <c r="B1" s="15"/>
      <c r="C1" s="15">
        <v>1</v>
      </c>
      <c r="D1" s="15">
        <v>2</v>
      </c>
      <c r="E1" s="15">
        <v>3</v>
      </c>
      <c r="F1" s="15">
        <v>4</v>
      </c>
      <c r="G1" s="15">
        <v>5</v>
      </c>
      <c r="H1" s="15">
        <v>6</v>
      </c>
      <c r="I1" s="15">
        <v>7</v>
      </c>
      <c r="J1" s="15">
        <v>8</v>
      </c>
      <c r="K1" s="15">
        <v>9</v>
      </c>
      <c r="L1" s="15">
        <v>10</v>
      </c>
      <c r="M1" s="15">
        <v>11</v>
      </c>
      <c r="N1" s="15">
        <v>12</v>
      </c>
      <c r="O1" s="15">
        <v>13</v>
      </c>
      <c r="P1" s="15">
        <v>14</v>
      </c>
      <c r="Q1" s="15">
        <v>15</v>
      </c>
      <c r="R1" s="15">
        <v>16</v>
      </c>
      <c r="S1" s="15">
        <v>17</v>
      </c>
      <c r="T1" s="15">
        <v>18</v>
      </c>
      <c r="U1" s="15">
        <v>19</v>
      </c>
      <c r="V1" s="15">
        <v>20</v>
      </c>
      <c r="W1" s="15">
        <v>21</v>
      </c>
      <c r="X1" s="15">
        <v>22</v>
      </c>
      <c r="Y1" s="15">
        <v>23</v>
      </c>
      <c r="Z1" s="15">
        <v>24</v>
      </c>
      <c r="AA1" s="15">
        <v>25</v>
      </c>
      <c r="AB1" s="15">
        <v>26</v>
      </c>
      <c r="AC1" s="15">
        <v>27</v>
      </c>
      <c r="AD1" s="15">
        <v>28</v>
      </c>
      <c r="AE1" s="15">
        <v>29</v>
      </c>
      <c r="AF1" s="15">
        <v>30</v>
      </c>
      <c r="AG1" s="15">
        <v>31</v>
      </c>
      <c r="AH1" s="15">
        <v>32</v>
      </c>
      <c r="AI1" s="15">
        <v>33</v>
      </c>
      <c r="AJ1" s="15">
        <v>34</v>
      </c>
      <c r="AK1" s="15">
        <v>35</v>
      </c>
      <c r="AL1" s="15">
        <v>36</v>
      </c>
      <c r="AM1" s="15">
        <v>37</v>
      </c>
      <c r="AN1" s="15">
        <v>38</v>
      </c>
      <c r="AO1" s="15">
        <v>39</v>
      </c>
      <c r="AP1" s="15">
        <v>40</v>
      </c>
      <c r="AQ1" s="15">
        <v>41</v>
      </c>
      <c r="AR1" s="15">
        <v>42</v>
      </c>
      <c r="AS1" s="15">
        <v>43</v>
      </c>
      <c r="AT1" s="15">
        <v>44</v>
      </c>
      <c r="AU1" s="15">
        <v>45</v>
      </c>
      <c r="AV1" s="15">
        <v>46</v>
      </c>
      <c r="AW1" s="15">
        <v>47</v>
      </c>
      <c r="AX1" s="15">
        <v>48</v>
      </c>
      <c r="AY1" s="15">
        <v>49</v>
      </c>
      <c r="AZ1" s="15">
        <v>50</v>
      </c>
      <c r="BA1" s="15">
        <v>51</v>
      </c>
      <c r="BB1" s="15">
        <v>52</v>
      </c>
      <c r="BC1" s="15">
        <v>53</v>
      </c>
      <c r="BD1" s="15">
        <v>54</v>
      </c>
      <c r="BE1" s="15">
        <v>55</v>
      </c>
      <c r="BF1" s="15">
        <v>56</v>
      </c>
      <c r="BG1" s="15">
        <v>57</v>
      </c>
      <c r="BH1" s="15">
        <v>58</v>
      </c>
      <c r="BI1" s="15">
        <v>59</v>
      </c>
      <c r="BJ1" s="15">
        <v>60</v>
      </c>
      <c r="BK1" s="15"/>
      <c r="BL1" s="15"/>
    </row>
    <row r="2" spans="1:64" x14ac:dyDescent="0.25">
      <c r="A2" s="1" t="s">
        <v>2</v>
      </c>
      <c r="C2" s="1" t="s">
        <v>1</v>
      </c>
      <c r="D2" s="1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64" x14ac:dyDescent="0.25">
      <c r="B3" s="16" t="s">
        <v>12</v>
      </c>
      <c r="C3" s="16">
        <v>1</v>
      </c>
      <c r="D3" s="16">
        <v>1</v>
      </c>
      <c r="E3" s="16">
        <v>1</v>
      </c>
      <c r="F3" s="16">
        <v>1</v>
      </c>
      <c r="G3" s="16">
        <v>1</v>
      </c>
      <c r="H3" s="16">
        <v>1</v>
      </c>
      <c r="I3" s="16">
        <v>1</v>
      </c>
      <c r="J3" s="16">
        <v>1</v>
      </c>
      <c r="K3" s="16">
        <v>1</v>
      </c>
      <c r="L3" s="16">
        <v>1</v>
      </c>
      <c r="M3" s="16">
        <v>1</v>
      </c>
      <c r="N3" s="16">
        <v>1</v>
      </c>
      <c r="O3" s="16">
        <v>1</v>
      </c>
      <c r="P3" s="16">
        <v>1</v>
      </c>
      <c r="Q3" s="16">
        <v>1</v>
      </c>
      <c r="R3" s="16">
        <v>1</v>
      </c>
      <c r="S3" s="16">
        <v>1</v>
      </c>
    </row>
    <row r="4" spans="1:64" x14ac:dyDescent="0.25">
      <c r="B4" s="16" t="s">
        <v>13</v>
      </c>
      <c r="C4" s="16">
        <v>1</v>
      </c>
      <c r="D4" s="16">
        <v>1</v>
      </c>
      <c r="E4" s="16">
        <v>1</v>
      </c>
      <c r="F4" s="16">
        <v>2</v>
      </c>
      <c r="G4" s="16">
        <v>2</v>
      </c>
      <c r="H4" s="16">
        <v>2</v>
      </c>
      <c r="I4" s="16">
        <v>2</v>
      </c>
      <c r="J4" s="16">
        <v>2</v>
      </c>
      <c r="K4" s="16">
        <v>2</v>
      </c>
      <c r="L4" s="16">
        <v>2</v>
      </c>
      <c r="M4" s="16">
        <v>2</v>
      </c>
      <c r="N4" s="16">
        <v>2</v>
      </c>
      <c r="O4" s="16">
        <v>2</v>
      </c>
      <c r="P4" s="16">
        <v>2</v>
      </c>
      <c r="Q4" s="16">
        <v>2</v>
      </c>
      <c r="R4" s="16">
        <v>2</v>
      </c>
      <c r="S4" s="16">
        <v>2</v>
      </c>
    </row>
    <row r="5" spans="1:64" x14ac:dyDescent="0.25"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64" ht="15.75" x14ac:dyDescent="0.25">
      <c r="A6" s="17" t="s">
        <v>5</v>
      </c>
      <c r="B6" s="16"/>
      <c r="C6" s="1"/>
      <c r="D6" s="1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spans="1:64" x14ac:dyDescent="0.25">
      <c r="B7" s="16" t="s">
        <v>14</v>
      </c>
      <c r="C7" s="16">
        <v>3</v>
      </c>
      <c r="D7" s="16">
        <v>3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64" x14ac:dyDescent="0.25"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64" ht="15.75" x14ac:dyDescent="0.25">
      <c r="A9" s="17" t="s">
        <v>6</v>
      </c>
      <c r="B9" s="16"/>
      <c r="C9" s="16"/>
      <c r="D9" s="16"/>
      <c r="E9" s="1"/>
      <c r="F9" s="1"/>
      <c r="G9" s="1"/>
      <c r="H9" s="1"/>
      <c r="I9" s="1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64" x14ac:dyDescent="0.25">
      <c r="A10" s="16"/>
      <c r="B10" s="16" t="s">
        <v>14</v>
      </c>
      <c r="C10" s="16"/>
      <c r="D10" s="16"/>
      <c r="E10" s="16">
        <v>1.5</v>
      </c>
      <c r="F10" s="16">
        <v>1.5</v>
      </c>
      <c r="G10" s="16">
        <v>1.5</v>
      </c>
      <c r="H10" s="16">
        <v>1.5</v>
      </c>
      <c r="I10" s="16">
        <v>1.5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64" x14ac:dyDescent="0.25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64" ht="15.75" x14ac:dyDescent="0.25">
      <c r="A12" s="17" t="s">
        <v>7</v>
      </c>
      <c r="B12" s="16"/>
      <c r="C12" s="16"/>
      <c r="D12" s="16"/>
      <c r="E12" s="16"/>
      <c r="F12" s="16"/>
      <c r="G12" s="16"/>
      <c r="H12" s="16"/>
      <c r="I12" s="16"/>
      <c r="J12" s="1"/>
      <c r="K12" s="1"/>
      <c r="L12" s="1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spans="1:64" x14ac:dyDescent="0.25">
      <c r="A13" s="16"/>
      <c r="B13" s="16" t="s">
        <v>14</v>
      </c>
      <c r="C13" s="16"/>
      <c r="D13" s="16"/>
      <c r="E13" s="16"/>
      <c r="F13" s="16"/>
      <c r="G13" s="16"/>
      <c r="H13" s="16"/>
      <c r="I13" s="16"/>
      <c r="J13" s="16">
        <v>3</v>
      </c>
      <c r="K13" s="16">
        <v>3</v>
      </c>
      <c r="L13" s="16">
        <v>3</v>
      </c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64" x14ac:dyDescent="0.25">
      <c r="A14" s="16"/>
      <c r="B14" s="16" t="s">
        <v>15</v>
      </c>
      <c r="C14" s="16"/>
      <c r="D14" s="16"/>
      <c r="E14" s="16"/>
      <c r="F14" s="16"/>
      <c r="G14" s="16"/>
      <c r="H14" s="16"/>
      <c r="I14" s="16"/>
      <c r="J14" s="16">
        <v>3</v>
      </c>
      <c r="K14" s="16">
        <v>3</v>
      </c>
      <c r="L14" s="16">
        <v>3</v>
      </c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spans="1:64" x14ac:dyDescent="0.25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spans="1:64" ht="15.75" x14ac:dyDescent="0.25">
      <c r="A16" s="17" t="s">
        <v>8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"/>
      <c r="N16" s="1"/>
      <c r="O16" s="1"/>
      <c r="P16" s="1"/>
      <c r="Q16" s="1"/>
      <c r="R16" s="1"/>
      <c r="S16" s="1"/>
      <c r="T16" s="16"/>
      <c r="U16" s="16"/>
      <c r="V16" s="16"/>
      <c r="W16" s="16"/>
      <c r="X16" s="16"/>
      <c r="Y16" s="16"/>
      <c r="Z16" s="16"/>
    </row>
    <row r="17" spans="1:26" x14ac:dyDescent="0.25">
      <c r="A17" s="16"/>
      <c r="B17" s="16" t="s">
        <v>14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>
        <v>1</v>
      </c>
      <c r="N17" s="16">
        <v>1</v>
      </c>
      <c r="O17" s="16">
        <v>1</v>
      </c>
      <c r="P17" s="16">
        <v>1</v>
      </c>
      <c r="Q17" s="16">
        <v>1</v>
      </c>
      <c r="R17" s="16">
        <v>1</v>
      </c>
      <c r="S17" s="16">
        <v>1</v>
      </c>
      <c r="T17" s="16"/>
      <c r="U17" s="16"/>
      <c r="V17" s="16"/>
      <c r="W17" s="16"/>
      <c r="X17" s="16"/>
      <c r="Y17" s="16"/>
      <c r="Z17" s="16"/>
    </row>
    <row r="18" spans="1:26" x14ac:dyDescent="0.25">
      <c r="A18" s="16"/>
      <c r="B18" s="16" t="s">
        <v>16</v>
      </c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>
        <v>4</v>
      </c>
      <c r="N18" s="16">
        <v>4</v>
      </c>
      <c r="O18" s="16">
        <v>4</v>
      </c>
      <c r="P18" s="16">
        <v>4</v>
      </c>
      <c r="Q18" s="16">
        <v>4</v>
      </c>
      <c r="R18" s="16">
        <v>4</v>
      </c>
      <c r="S18" s="16">
        <v>4</v>
      </c>
      <c r="T18" s="16"/>
      <c r="U18" s="16"/>
      <c r="V18" s="16"/>
      <c r="W18" s="16"/>
      <c r="X18" s="16"/>
      <c r="Y18" s="16"/>
      <c r="Z18" s="16"/>
    </row>
    <row r="19" spans="1:26" x14ac:dyDescent="0.25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6" x14ac:dyDescent="0.25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1:26" x14ac:dyDescent="0.25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spans="1:26" x14ac:dyDescent="0.25">
      <c r="A22" s="2" t="s">
        <v>3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26" x14ac:dyDescent="0.25">
      <c r="B23" s="16" t="s">
        <v>12</v>
      </c>
      <c r="C23" s="16">
        <v>1</v>
      </c>
      <c r="D23" s="16">
        <v>1</v>
      </c>
      <c r="E23" s="16">
        <v>1</v>
      </c>
      <c r="F23" s="16">
        <v>1</v>
      </c>
      <c r="G23" s="16">
        <v>1</v>
      </c>
      <c r="H23" s="16">
        <v>1</v>
      </c>
      <c r="I23" s="16">
        <v>1</v>
      </c>
      <c r="J23" s="16">
        <v>1</v>
      </c>
      <c r="K23" s="16">
        <v>1</v>
      </c>
      <c r="L23" s="16">
        <v>1</v>
      </c>
      <c r="M23" s="16">
        <v>1</v>
      </c>
      <c r="N23" s="16">
        <v>1</v>
      </c>
    </row>
    <row r="24" spans="1:26" x14ac:dyDescent="0.25">
      <c r="B24" s="16" t="s">
        <v>13</v>
      </c>
      <c r="C24" s="16">
        <v>1</v>
      </c>
      <c r="D24" s="16">
        <v>1</v>
      </c>
      <c r="E24" s="16">
        <v>1</v>
      </c>
      <c r="F24" s="16">
        <v>2</v>
      </c>
      <c r="G24" s="16">
        <v>2</v>
      </c>
      <c r="H24" s="16">
        <v>2</v>
      </c>
      <c r="I24" s="16">
        <v>2</v>
      </c>
      <c r="J24" s="16">
        <v>2</v>
      </c>
      <c r="K24" s="16">
        <v>2</v>
      </c>
      <c r="L24" s="16">
        <v>2</v>
      </c>
      <c r="M24" s="16">
        <v>2</v>
      </c>
      <c r="N24" s="16">
        <v>2</v>
      </c>
    </row>
    <row r="25" spans="1:26" x14ac:dyDescent="0.25">
      <c r="B25" s="16"/>
      <c r="C25" s="16"/>
      <c r="D25" s="16"/>
      <c r="E25" s="16"/>
      <c r="F25" s="16"/>
    </row>
    <row r="26" spans="1:26" ht="15.75" x14ac:dyDescent="0.25">
      <c r="A26" s="17" t="s">
        <v>6</v>
      </c>
      <c r="B26" s="16"/>
      <c r="C26" s="2"/>
      <c r="D26" s="2"/>
      <c r="E26" s="2"/>
      <c r="K26" s="16"/>
      <c r="L26" s="16"/>
      <c r="M26" s="16"/>
      <c r="N26" s="16"/>
      <c r="O26" s="16"/>
      <c r="P26" s="16"/>
      <c r="Q26" s="16"/>
      <c r="R26" s="16"/>
      <c r="S26" s="16"/>
    </row>
    <row r="27" spans="1:26" x14ac:dyDescent="0.25">
      <c r="A27" s="16"/>
      <c r="B27" s="16" t="s">
        <v>14</v>
      </c>
      <c r="C27" s="16">
        <v>1.5</v>
      </c>
      <c r="D27" s="16">
        <v>1.5</v>
      </c>
      <c r="E27" s="16">
        <v>1.5</v>
      </c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</row>
    <row r="28" spans="1:26" x14ac:dyDescent="0.25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</row>
    <row r="29" spans="1:26" ht="15.75" x14ac:dyDescent="0.25">
      <c r="A29" s="17" t="s">
        <v>7</v>
      </c>
      <c r="B29" s="16"/>
      <c r="C29" s="16"/>
      <c r="D29" s="16"/>
      <c r="E29" s="16"/>
      <c r="F29" s="2"/>
      <c r="G29" s="2"/>
      <c r="H29" s="2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</row>
    <row r="30" spans="1:26" x14ac:dyDescent="0.25">
      <c r="A30" s="16"/>
      <c r="B30" s="16" t="s">
        <v>14</v>
      </c>
      <c r="C30" s="16"/>
      <c r="D30" s="16"/>
      <c r="E30" s="16"/>
      <c r="F30" s="16">
        <v>3</v>
      </c>
      <c r="G30" s="16">
        <v>3</v>
      </c>
      <c r="H30" s="16">
        <v>3</v>
      </c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26" x14ac:dyDescent="0.25">
      <c r="A31" s="16"/>
      <c r="B31" s="16" t="s">
        <v>15</v>
      </c>
      <c r="C31" s="16"/>
      <c r="D31" s="16"/>
      <c r="E31" s="16"/>
      <c r="F31" s="16">
        <v>3</v>
      </c>
      <c r="G31" s="16">
        <v>3</v>
      </c>
      <c r="H31" s="16">
        <v>3</v>
      </c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</row>
    <row r="32" spans="1:26" x14ac:dyDescent="0.2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</row>
    <row r="33" spans="1:32" ht="15.75" x14ac:dyDescent="0.25">
      <c r="A33" s="17" t="s">
        <v>8</v>
      </c>
      <c r="B33" s="16"/>
      <c r="C33" s="16"/>
      <c r="D33" s="16"/>
      <c r="E33" s="16"/>
      <c r="F33" s="16"/>
      <c r="G33" s="16"/>
      <c r="H33" s="16"/>
      <c r="I33" s="2"/>
      <c r="J33" s="2"/>
      <c r="K33" s="2"/>
      <c r="L33" s="2"/>
      <c r="M33" s="2"/>
      <c r="N33" s="2"/>
      <c r="O33" s="16"/>
      <c r="P33" s="16"/>
      <c r="Q33" s="16"/>
      <c r="R33" s="16"/>
      <c r="S33" s="16"/>
    </row>
    <row r="34" spans="1:32" x14ac:dyDescent="0.25">
      <c r="A34" s="16"/>
      <c r="B34" s="16" t="s">
        <v>14</v>
      </c>
      <c r="C34" s="16"/>
      <c r="D34" s="16"/>
      <c r="E34" s="16"/>
      <c r="F34" s="16"/>
      <c r="G34" s="16"/>
      <c r="H34" s="16"/>
      <c r="I34" s="16">
        <v>1</v>
      </c>
      <c r="J34" s="16">
        <v>1</v>
      </c>
      <c r="K34" s="16">
        <v>1</v>
      </c>
      <c r="L34" s="16">
        <v>1</v>
      </c>
      <c r="M34" s="16">
        <v>1</v>
      </c>
      <c r="N34" s="16">
        <v>1</v>
      </c>
      <c r="O34" s="16"/>
      <c r="P34" s="16"/>
      <c r="Q34" s="16"/>
      <c r="R34" s="16"/>
      <c r="S34" s="16"/>
    </row>
    <row r="35" spans="1:32" x14ac:dyDescent="0.25">
      <c r="A35" s="16"/>
      <c r="B35" s="16" t="s">
        <v>16</v>
      </c>
      <c r="C35" s="16"/>
      <c r="D35" s="16"/>
      <c r="E35" s="16"/>
      <c r="F35" s="16"/>
      <c r="G35" s="16"/>
      <c r="H35" s="16"/>
      <c r="I35" s="16">
        <v>4</v>
      </c>
      <c r="J35" s="16">
        <v>4</v>
      </c>
      <c r="K35" s="16">
        <v>4</v>
      </c>
      <c r="L35" s="16">
        <v>4</v>
      </c>
      <c r="M35" s="16">
        <v>4</v>
      </c>
      <c r="N35" s="16">
        <v>4</v>
      </c>
      <c r="O35" s="16"/>
      <c r="P35" s="16"/>
      <c r="Q35" s="16"/>
      <c r="R35" s="16"/>
      <c r="S35" s="16"/>
    </row>
    <row r="36" spans="1:32" x14ac:dyDescent="0.25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32" x14ac:dyDescent="0.25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9" spans="1:32" x14ac:dyDescent="0.25">
      <c r="A39" s="3" t="s">
        <v>4</v>
      </c>
      <c r="C39" s="3"/>
      <c r="D39" s="3"/>
      <c r="E39" s="3"/>
      <c r="F39" s="3"/>
      <c r="G39" s="3"/>
      <c r="H39" s="3"/>
      <c r="I39" s="3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</row>
    <row r="40" spans="1:32" x14ac:dyDescent="0.25">
      <c r="B40" s="16" t="s">
        <v>12</v>
      </c>
      <c r="C40" s="16">
        <v>1</v>
      </c>
      <c r="D40" s="16">
        <v>1</v>
      </c>
      <c r="E40" s="16">
        <v>1</v>
      </c>
      <c r="F40" s="16">
        <v>1</v>
      </c>
      <c r="G40" s="16">
        <v>1</v>
      </c>
      <c r="H40" s="16">
        <v>1</v>
      </c>
      <c r="I40" s="16">
        <v>1</v>
      </c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</row>
    <row r="41" spans="1:32" x14ac:dyDescent="0.25">
      <c r="B41" s="16" t="s">
        <v>13</v>
      </c>
      <c r="C41" s="16">
        <v>2</v>
      </c>
      <c r="D41" s="16">
        <v>2</v>
      </c>
      <c r="E41" s="16">
        <v>2</v>
      </c>
      <c r="F41" s="16">
        <v>2</v>
      </c>
      <c r="G41" s="16">
        <v>2</v>
      </c>
      <c r="H41" s="16">
        <v>2</v>
      </c>
      <c r="I41" s="16">
        <v>2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</row>
    <row r="43" spans="1:32" ht="15.75" x14ac:dyDescent="0.25">
      <c r="A43" s="17" t="s">
        <v>7</v>
      </c>
      <c r="B43" s="16"/>
      <c r="C43" s="3"/>
      <c r="D43" s="3"/>
      <c r="E43" s="16"/>
      <c r="F43" s="16"/>
      <c r="G43" s="16"/>
      <c r="H43" s="16"/>
      <c r="I43" s="16"/>
      <c r="J43" s="16"/>
      <c r="K43" s="16"/>
      <c r="L43" s="16"/>
      <c r="M43" s="16"/>
      <c r="N43" s="16"/>
    </row>
    <row r="44" spans="1:32" x14ac:dyDescent="0.25">
      <c r="A44" s="16"/>
      <c r="B44" s="16" t="s">
        <v>14</v>
      </c>
      <c r="C44" s="16">
        <v>3</v>
      </c>
      <c r="D44" s="16">
        <v>3</v>
      </c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32" x14ac:dyDescent="0.25">
      <c r="A45" s="16"/>
      <c r="B45" s="16" t="s">
        <v>15</v>
      </c>
      <c r="C45" s="16">
        <v>3</v>
      </c>
      <c r="D45" s="16">
        <v>3</v>
      </c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32" x14ac:dyDescent="0.25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32" ht="15.75" x14ac:dyDescent="0.25">
      <c r="A47" s="17" t="s">
        <v>8</v>
      </c>
      <c r="B47" s="16"/>
      <c r="C47" s="16"/>
      <c r="D47" s="16"/>
      <c r="E47" s="3"/>
      <c r="F47" s="3"/>
      <c r="G47" s="3"/>
      <c r="H47" s="3"/>
      <c r="I47" s="3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32" x14ac:dyDescent="0.25">
      <c r="B48" s="16" t="s">
        <v>14</v>
      </c>
      <c r="C48" s="16"/>
      <c r="D48" s="16"/>
      <c r="E48" s="16">
        <v>1</v>
      </c>
      <c r="F48" s="16">
        <v>1</v>
      </c>
      <c r="G48" s="16">
        <v>1</v>
      </c>
      <c r="H48" s="16">
        <v>1</v>
      </c>
      <c r="I48" s="16">
        <v>1</v>
      </c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x14ac:dyDescent="0.25">
      <c r="A49" s="16"/>
      <c r="B49" s="16" t="s">
        <v>16</v>
      </c>
      <c r="C49" s="16"/>
      <c r="D49" s="16"/>
      <c r="E49" s="16">
        <v>4</v>
      </c>
      <c r="F49" s="16">
        <v>4</v>
      </c>
      <c r="G49" s="16">
        <v>4</v>
      </c>
      <c r="H49" s="16">
        <v>4</v>
      </c>
      <c r="I49" s="16">
        <v>4</v>
      </c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x14ac:dyDescent="0.25">
      <c r="A50" s="16"/>
      <c r="C50" s="16"/>
      <c r="D50" s="16"/>
      <c r="E50" s="16"/>
      <c r="F50" s="16"/>
      <c r="G50" s="16"/>
      <c r="H50" s="16"/>
    </row>
    <row r="51" spans="1:26" x14ac:dyDescent="0.25">
      <c r="O51" s="16"/>
      <c r="P51" s="16"/>
      <c r="Q51" s="16"/>
      <c r="R51" s="16"/>
      <c r="S51" s="16"/>
      <c r="T51" s="16"/>
    </row>
  </sheetData>
  <dataConsolidate/>
  <pageMargins left="0.7" right="0.7" top="0.78740157499999996" bottom="0.78740157499999996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BJ42"/>
  <sheetViews>
    <sheetView workbookViewId="0">
      <selection activeCell="A34" sqref="A34:A43"/>
    </sheetView>
  </sheetViews>
  <sheetFormatPr baseColWidth="10" defaultRowHeight="15" x14ac:dyDescent="0.25"/>
  <cols>
    <col min="1" max="2" width="20.7109375" customWidth="1"/>
    <col min="3" max="62" width="4.28515625" customWidth="1"/>
  </cols>
  <sheetData>
    <row r="1" spans="1:62" x14ac:dyDescent="0.25">
      <c r="A1" s="15" t="s">
        <v>32</v>
      </c>
      <c r="B1" s="15"/>
      <c r="C1" s="15">
        <v>1</v>
      </c>
      <c r="D1" s="15">
        <v>2</v>
      </c>
      <c r="E1" s="15">
        <v>3</v>
      </c>
      <c r="F1" s="15">
        <v>4</v>
      </c>
      <c r="G1" s="15">
        <v>5</v>
      </c>
      <c r="H1" s="15">
        <v>6</v>
      </c>
      <c r="I1" s="15">
        <v>7</v>
      </c>
      <c r="J1" s="15">
        <v>8</v>
      </c>
      <c r="K1" s="15">
        <v>9</v>
      </c>
      <c r="L1" s="15">
        <v>10</v>
      </c>
      <c r="M1" s="15">
        <v>11</v>
      </c>
      <c r="N1" s="15">
        <v>12</v>
      </c>
      <c r="O1" s="15">
        <v>13</v>
      </c>
      <c r="P1" s="15">
        <v>14</v>
      </c>
      <c r="Q1" s="15">
        <v>15</v>
      </c>
      <c r="R1" s="15">
        <v>16</v>
      </c>
      <c r="S1" s="15">
        <v>17</v>
      </c>
      <c r="T1" s="15">
        <v>18</v>
      </c>
      <c r="U1" s="15">
        <v>19</v>
      </c>
      <c r="V1" s="15">
        <v>20</v>
      </c>
      <c r="W1" s="15">
        <v>21</v>
      </c>
      <c r="X1" s="15">
        <v>22</v>
      </c>
      <c r="Y1" s="15">
        <v>23</v>
      </c>
      <c r="Z1" s="15">
        <v>24</v>
      </c>
      <c r="AA1" s="15">
        <v>25</v>
      </c>
      <c r="AB1" s="15">
        <v>26</v>
      </c>
      <c r="AC1" s="15">
        <v>27</v>
      </c>
      <c r="AD1" s="15">
        <v>28</v>
      </c>
      <c r="AE1" s="15">
        <v>29</v>
      </c>
      <c r="AF1" s="15">
        <v>30</v>
      </c>
      <c r="AG1" s="15">
        <v>31</v>
      </c>
      <c r="AH1" s="15">
        <v>32</v>
      </c>
      <c r="AI1" s="15">
        <v>33</v>
      </c>
      <c r="AJ1" s="15">
        <v>34</v>
      </c>
      <c r="AK1" s="15">
        <v>35</v>
      </c>
      <c r="AL1" s="15">
        <v>36</v>
      </c>
      <c r="AM1" s="15">
        <v>37</v>
      </c>
      <c r="AN1" s="15">
        <v>38</v>
      </c>
      <c r="AO1" s="15">
        <v>39</v>
      </c>
      <c r="AP1" s="15">
        <v>40</v>
      </c>
      <c r="AQ1" s="15">
        <v>41</v>
      </c>
      <c r="AR1" s="15">
        <v>42</v>
      </c>
      <c r="AS1" s="15">
        <v>43</v>
      </c>
      <c r="AT1" s="15">
        <v>44</v>
      </c>
      <c r="AU1" s="15">
        <v>45</v>
      </c>
      <c r="AV1" s="15">
        <v>46</v>
      </c>
      <c r="AW1" s="15">
        <v>47</v>
      </c>
      <c r="AX1" s="15">
        <v>48</v>
      </c>
      <c r="AY1" s="15">
        <v>49</v>
      </c>
      <c r="AZ1" s="15">
        <v>50</v>
      </c>
      <c r="BA1" s="15">
        <v>51</v>
      </c>
      <c r="BB1" s="15">
        <v>52</v>
      </c>
      <c r="BC1" s="15">
        <v>53</v>
      </c>
      <c r="BD1" s="15">
        <v>54</v>
      </c>
      <c r="BE1" s="15">
        <v>55</v>
      </c>
      <c r="BF1" s="15">
        <v>56</v>
      </c>
      <c r="BG1" s="15">
        <v>57</v>
      </c>
      <c r="BH1" s="15">
        <v>58</v>
      </c>
      <c r="BI1" s="15">
        <v>59</v>
      </c>
      <c r="BJ1" s="15">
        <v>60</v>
      </c>
    </row>
    <row r="2" spans="1:62" x14ac:dyDescent="0.25">
      <c r="A2" s="1" t="s">
        <v>2</v>
      </c>
      <c r="C2" s="1" t="s">
        <v>1</v>
      </c>
      <c r="D2" s="1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62" x14ac:dyDescent="0.25">
      <c r="B3" s="16" t="s">
        <v>20</v>
      </c>
      <c r="C3" s="16">
        <v>1</v>
      </c>
      <c r="D3" s="16">
        <v>1</v>
      </c>
      <c r="E3" s="16">
        <v>1</v>
      </c>
      <c r="F3" s="16">
        <v>1</v>
      </c>
      <c r="G3" s="16">
        <v>2</v>
      </c>
      <c r="H3" s="16">
        <v>2</v>
      </c>
      <c r="I3" s="16">
        <v>2</v>
      </c>
      <c r="J3" s="16">
        <v>4</v>
      </c>
      <c r="K3" s="16">
        <v>4</v>
      </c>
      <c r="L3" s="16">
        <v>4</v>
      </c>
      <c r="M3" s="16">
        <v>4</v>
      </c>
      <c r="N3" s="16">
        <v>4</v>
      </c>
      <c r="O3" s="16">
        <v>4</v>
      </c>
      <c r="P3" s="16">
        <v>2</v>
      </c>
      <c r="Q3" s="16">
        <v>2</v>
      </c>
      <c r="R3" s="16">
        <v>1</v>
      </c>
      <c r="S3" s="16">
        <v>1</v>
      </c>
    </row>
    <row r="4" spans="1:62" x14ac:dyDescent="0.25"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spans="1:62" x14ac:dyDescent="0.25">
      <c r="A5" s="16" t="s">
        <v>33</v>
      </c>
      <c r="B5" s="16"/>
      <c r="C5" s="1"/>
      <c r="D5" s="1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62" x14ac:dyDescent="0.25">
      <c r="B6" s="16" t="s">
        <v>20</v>
      </c>
      <c r="C6" s="16">
        <v>1</v>
      </c>
      <c r="D6" s="16">
        <v>2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spans="1:62" x14ac:dyDescent="0.25"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62" x14ac:dyDescent="0.25">
      <c r="A8" s="16" t="s">
        <v>34</v>
      </c>
      <c r="B8" s="16"/>
      <c r="C8" s="16"/>
      <c r="D8" s="16"/>
      <c r="E8" s="1"/>
      <c r="F8" s="1"/>
      <c r="G8" s="1"/>
      <c r="H8" s="1"/>
      <c r="I8" s="1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62" x14ac:dyDescent="0.25">
      <c r="A9" s="16"/>
      <c r="B9" s="16" t="s">
        <v>19</v>
      </c>
      <c r="C9" s="16"/>
      <c r="D9" s="16"/>
      <c r="E9" s="16">
        <v>20</v>
      </c>
      <c r="F9" s="16">
        <v>20</v>
      </c>
      <c r="G9" s="16">
        <v>20</v>
      </c>
      <c r="H9" s="16">
        <v>20</v>
      </c>
      <c r="I9" s="16">
        <v>20</v>
      </c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62" x14ac:dyDescent="0.25">
      <c r="A10" s="16"/>
      <c r="B10" s="16" t="s">
        <v>20</v>
      </c>
      <c r="C10" s="16"/>
      <c r="D10" s="16"/>
      <c r="E10" s="16">
        <v>2</v>
      </c>
      <c r="F10" s="16">
        <v>2</v>
      </c>
      <c r="G10" s="16">
        <v>2</v>
      </c>
      <c r="H10" s="16">
        <v>2</v>
      </c>
      <c r="I10" s="16">
        <v>2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62" x14ac:dyDescent="0.25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62" x14ac:dyDescent="0.25">
      <c r="A12" s="16" t="s">
        <v>35</v>
      </c>
      <c r="B12" s="16"/>
      <c r="C12" s="16"/>
      <c r="D12" s="16"/>
      <c r="E12" s="16"/>
      <c r="F12" s="16"/>
      <c r="G12" s="16"/>
      <c r="H12" s="16"/>
      <c r="I12" s="16"/>
      <c r="J12" s="1"/>
      <c r="K12" s="1"/>
      <c r="L12" s="1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spans="1:62" x14ac:dyDescent="0.25">
      <c r="A13" s="16"/>
      <c r="B13" s="16" t="s">
        <v>19</v>
      </c>
      <c r="C13" s="16"/>
      <c r="D13" s="16"/>
      <c r="E13" s="16"/>
      <c r="F13" s="16"/>
      <c r="G13" s="16"/>
      <c r="H13" s="16"/>
      <c r="I13" s="16"/>
      <c r="J13" s="16">
        <v>10</v>
      </c>
      <c r="K13" s="16">
        <v>10</v>
      </c>
      <c r="L13" s="16">
        <v>10</v>
      </c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62" x14ac:dyDescent="0.25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spans="1:62" x14ac:dyDescent="0.25">
      <c r="A15" s="16" t="s">
        <v>36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"/>
      <c r="N15" s="1"/>
      <c r="O15" s="1"/>
      <c r="P15" s="1"/>
      <c r="Q15" s="1"/>
      <c r="R15" s="1"/>
      <c r="S15" s="1"/>
      <c r="T15" s="16"/>
      <c r="U15" s="16"/>
      <c r="V15" s="16"/>
      <c r="W15" s="16"/>
      <c r="X15" s="16"/>
      <c r="Y15" s="16"/>
      <c r="Z15" s="16"/>
    </row>
    <row r="16" spans="1:62" x14ac:dyDescent="0.25">
      <c r="A16" s="16"/>
      <c r="B16" s="16" t="s">
        <v>18</v>
      </c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>
        <v>2</v>
      </c>
      <c r="N16" s="16">
        <v>2</v>
      </c>
      <c r="O16" s="16">
        <v>2</v>
      </c>
      <c r="P16" s="16">
        <v>2</v>
      </c>
      <c r="Q16" s="16">
        <v>2</v>
      </c>
      <c r="R16" s="16">
        <v>2</v>
      </c>
      <c r="S16" s="16">
        <v>2</v>
      </c>
      <c r="T16" s="16"/>
      <c r="U16" s="16"/>
      <c r="V16" s="16"/>
      <c r="W16" s="16"/>
      <c r="X16" s="16"/>
      <c r="Y16" s="16"/>
      <c r="Z16" s="16"/>
    </row>
    <row r="17" spans="1:26" x14ac:dyDescent="0.25">
      <c r="A17" s="16"/>
      <c r="B17" s="16" t="s">
        <v>20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>
        <v>5</v>
      </c>
      <c r="N17" s="16">
        <v>5</v>
      </c>
      <c r="O17" s="16">
        <v>5</v>
      </c>
      <c r="P17" s="16">
        <v>5</v>
      </c>
      <c r="Q17" s="16">
        <v>5</v>
      </c>
      <c r="R17" s="16">
        <v>5</v>
      </c>
      <c r="S17" s="16">
        <v>5</v>
      </c>
      <c r="T17" s="16"/>
      <c r="U17" s="16"/>
      <c r="V17" s="16"/>
      <c r="W17" s="16"/>
      <c r="X17" s="16"/>
      <c r="Y17" s="16"/>
      <c r="Z17" s="16"/>
    </row>
    <row r="18" spans="1:26" x14ac:dyDescent="0.25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spans="1:26" x14ac:dyDescent="0.25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6" x14ac:dyDescent="0.25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1:26" x14ac:dyDescent="0.25">
      <c r="A21" s="2" t="s">
        <v>3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26" x14ac:dyDescent="0.25">
      <c r="B22" s="16"/>
      <c r="C22" s="16"/>
      <c r="D22" s="16"/>
      <c r="E22" s="16"/>
      <c r="F22" s="16"/>
    </row>
    <row r="23" spans="1:26" x14ac:dyDescent="0.25">
      <c r="A23" s="16" t="s">
        <v>34</v>
      </c>
      <c r="B23" s="16"/>
      <c r="C23" s="2"/>
      <c r="D23" s="2"/>
      <c r="E23" s="2"/>
      <c r="F23" s="16"/>
    </row>
    <row r="24" spans="1:26" x14ac:dyDescent="0.25">
      <c r="A24" s="16"/>
      <c r="B24" s="16" t="s">
        <v>19</v>
      </c>
      <c r="C24" s="16">
        <v>20</v>
      </c>
      <c r="D24" s="16">
        <v>20</v>
      </c>
      <c r="E24" s="16">
        <v>20</v>
      </c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spans="1:26" x14ac:dyDescent="0.25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 x14ac:dyDescent="0.25">
      <c r="A26" s="16" t="s">
        <v>35</v>
      </c>
      <c r="B26" s="16"/>
      <c r="C26" s="16"/>
      <c r="D26" s="16"/>
      <c r="E26" s="16"/>
      <c r="F26" s="2"/>
      <c r="G26" s="2"/>
      <c r="H26" s="2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x14ac:dyDescent="0.25">
      <c r="A27" s="16"/>
      <c r="B27" s="16" t="s">
        <v>19</v>
      </c>
      <c r="C27" s="16"/>
      <c r="D27" s="16"/>
      <c r="E27" s="16"/>
      <c r="F27" s="16">
        <v>10</v>
      </c>
      <c r="G27" s="16">
        <v>10</v>
      </c>
      <c r="H27" s="16">
        <v>10</v>
      </c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x14ac:dyDescent="0.25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x14ac:dyDescent="0.25">
      <c r="A29" s="16" t="s">
        <v>36</v>
      </c>
      <c r="B29" s="16"/>
      <c r="C29" s="16"/>
      <c r="D29" s="16"/>
      <c r="E29" s="16"/>
      <c r="F29" s="16"/>
      <c r="G29" s="16"/>
      <c r="H29" s="16"/>
      <c r="I29" s="2"/>
      <c r="J29" s="2"/>
      <c r="K29" s="2"/>
      <c r="L29" s="2"/>
      <c r="M29" s="2"/>
      <c r="N29" s="2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x14ac:dyDescent="0.25">
      <c r="A30" s="16"/>
      <c r="B30" s="16" t="s">
        <v>18</v>
      </c>
      <c r="C30" s="16"/>
      <c r="D30" s="16"/>
      <c r="E30" s="16"/>
      <c r="F30" s="16"/>
      <c r="G30" s="16"/>
      <c r="H30" s="16"/>
      <c r="I30" s="16">
        <v>2</v>
      </c>
      <c r="J30" s="16">
        <v>2</v>
      </c>
      <c r="K30" s="16">
        <v>2</v>
      </c>
      <c r="L30" s="16">
        <v>2</v>
      </c>
      <c r="M30" s="16">
        <v>2</v>
      </c>
      <c r="N30" s="16">
        <v>2</v>
      </c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x14ac:dyDescent="0.25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x14ac:dyDescent="0.2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4" spans="1:32" x14ac:dyDescent="0.25">
      <c r="A34" s="3" t="s">
        <v>4</v>
      </c>
      <c r="C34" s="3"/>
      <c r="D34" s="3"/>
      <c r="E34" s="3"/>
      <c r="F34" s="3"/>
      <c r="G34" s="3"/>
      <c r="H34" s="3"/>
      <c r="I34" s="3"/>
    </row>
    <row r="35" spans="1:32" x14ac:dyDescent="0.25">
      <c r="B35" s="16" t="s">
        <v>20</v>
      </c>
      <c r="C35" s="16">
        <v>2</v>
      </c>
      <c r="D35" s="16">
        <v>2</v>
      </c>
      <c r="E35" s="16">
        <v>2</v>
      </c>
      <c r="F35" s="16">
        <v>2</v>
      </c>
      <c r="G35" s="16">
        <v>2</v>
      </c>
      <c r="H35" s="16">
        <v>2</v>
      </c>
      <c r="I35" s="16">
        <v>2</v>
      </c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</row>
    <row r="37" spans="1:32" x14ac:dyDescent="0.25">
      <c r="A37" s="16" t="s">
        <v>35</v>
      </c>
      <c r="C37" s="3"/>
      <c r="D37" s="3"/>
    </row>
    <row r="38" spans="1:32" x14ac:dyDescent="0.25">
      <c r="B38" s="16" t="s">
        <v>19</v>
      </c>
      <c r="C38" s="16">
        <v>10</v>
      </c>
      <c r="D38" s="16">
        <v>10</v>
      </c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32" x14ac:dyDescent="0.25">
      <c r="B39" s="16"/>
    </row>
    <row r="40" spans="1:32" x14ac:dyDescent="0.25">
      <c r="A40" s="16" t="s">
        <v>36</v>
      </c>
      <c r="B40" s="16"/>
      <c r="E40" s="3"/>
      <c r="F40" s="3"/>
      <c r="G40" s="3"/>
      <c r="H40" s="3"/>
      <c r="I40" s="3"/>
    </row>
    <row r="41" spans="1:32" x14ac:dyDescent="0.25">
      <c r="A41" s="16"/>
      <c r="B41" s="16" t="s">
        <v>18</v>
      </c>
      <c r="C41" s="16"/>
      <c r="D41" s="16"/>
      <c r="E41" s="16">
        <v>2</v>
      </c>
      <c r="F41" s="16">
        <v>2</v>
      </c>
      <c r="G41" s="16">
        <v>2</v>
      </c>
      <c r="H41" s="16">
        <v>4</v>
      </c>
      <c r="I41" s="16">
        <v>4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spans="1:32" x14ac:dyDescent="0.25">
      <c r="A42" s="16"/>
      <c r="B42" s="16" t="s">
        <v>20</v>
      </c>
      <c r="C42" s="16"/>
      <c r="D42" s="16"/>
      <c r="E42" s="16">
        <v>0.5</v>
      </c>
      <c r="F42" s="16">
        <v>0.5</v>
      </c>
      <c r="G42" s="16">
        <v>0.5</v>
      </c>
      <c r="H42" s="16">
        <v>0.5</v>
      </c>
      <c r="I42" s="16">
        <v>0.5</v>
      </c>
      <c r="J42" s="16"/>
      <c r="K42" s="16"/>
      <c r="L42" s="16"/>
      <c r="M42" s="16"/>
      <c r="N42" s="16"/>
      <c r="O42" s="16"/>
      <c r="P42" s="16"/>
      <c r="Q42" s="16"/>
      <c r="R42" s="16"/>
      <c r="S42" s="16"/>
    </row>
  </sheetData>
  <dataConsolidate/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A1:H32"/>
  <sheetViews>
    <sheetView showRowColHeaders="0" workbookViewId="0">
      <selection activeCell="A2" sqref="A2"/>
    </sheetView>
  </sheetViews>
  <sheetFormatPr baseColWidth="10" defaultRowHeight="15" x14ac:dyDescent="0.25"/>
  <cols>
    <col min="1" max="1" width="17.5703125" customWidth="1"/>
    <col min="2" max="2" width="18.5703125" customWidth="1"/>
    <col min="3" max="3" width="15.85546875" customWidth="1"/>
    <col min="4" max="4" width="17.42578125" customWidth="1"/>
    <col min="5" max="5" width="15.28515625" customWidth="1"/>
    <col min="6" max="6" width="16.28515625" customWidth="1"/>
    <col min="7" max="7" width="15.7109375" customWidth="1"/>
    <col min="8" max="8" width="25.5703125" customWidth="1"/>
  </cols>
  <sheetData>
    <row r="1" spans="1:8" x14ac:dyDescent="0.25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</row>
    <row r="2" spans="1:8" x14ac:dyDescent="0.25">
      <c r="A2" t="s">
        <v>45</v>
      </c>
      <c r="B2" t="s">
        <v>2</v>
      </c>
      <c r="C2" s="18">
        <v>40969</v>
      </c>
      <c r="D2">
        <v>17</v>
      </c>
      <c r="E2">
        <v>0.24</v>
      </c>
      <c r="F2">
        <v>6.1</v>
      </c>
      <c r="G2">
        <v>6.6</v>
      </c>
      <c r="H2" t="s">
        <v>46</v>
      </c>
    </row>
    <row r="3" spans="1:8" x14ac:dyDescent="0.25">
      <c r="A3" t="s">
        <v>59</v>
      </c>
      <c r="B3" t="s">
        <v>2</v>
      </c>
      <c r="C3" s="18">
        <v>41000</v>
      </c>
      <c r="D3">
        <v>17</v>
      </c>
      <c r="E3">
        <v>0.17400000000000002</v>
      </c>
      <c r="F3">
        <v>3.5</v>
      </c>
      <c r="G3">
        <v>6.2</v>
      </c>
      <c r="H3" t="s">
        <v>46</v>
      </c>
    </row>
    <row r="4" spans="1:8" x14ac:dyDescent="0.25">
      <c r="A4" t="s">
        <v>47</v>
      </c>
      <c r="B4" t="s">
        <v>2</v>
      </c>
      <c r="C4" s="18">
        <v>41214</v>
      </c>
      <c r="D4">
        <v>17</v>
      </c>
      <c r="E4">
        <v>0.153</v>
      </c>
      <c r="F4">
        <v>8.5</v>
      </c>
      <c r="G4">
        <v>4.3</v>
      </c>
      <c r="H4" t="s">
        <v>46</v>
      </c>
    </row>
    <row r="5" spans="1:8" x14ac:dyDescent="0.25">
      <c r="A5" t="s">
        <v>48</v>
      </c>
      <c r="B5" t="s">
        <v>2</v>
      </c>
      <c r="C5" s="18">
        <v>41365</v>
      </c>
      <c r="D5">
        <v>17</v>
      </c>
      <c r="E5">
        <v>0.28999999999999998</v>
      </c>
      <c r="F5">
        <v>7</v>
      </c>
      <c r="G5">
        <v>7.7</v>
      </c>
      <c r="H5" t="s">
        <v>49</v>
      </c>
    </row>
    <row r="6" spans="1:8" x14ac:dyDescent="0.25">
      <c r="A6" t="s">
        <v>66</v>
      </c>
      <c r="B6" t="s">
        <v>2</v>
      </c>
      <c r="C6" s="18">
        <v>41579</v>
      </c>
      <c r="D6">
        <v>17</v>
      </c>
      <c r="E6">
        <v>3.0000000000000001E-3</v>
      </c>
      <c r="F6">
        <v>0.9</v>
      </c>
      <c r="G6">
        <v>2</v>
      </c>
      <c r="H6" t="s">
        <v>49</v>
      </c>
    </row>
    <row r="7" spans="1:8" x14ac:dyDescent="0.25">
      <c r="A7" t="s">
        <v>69</v>
      </c>
      <c r="B7" t="s">
        <v>4</v>
      </c>
      <c r="C7" s="18">
        <v>41671</v>
      </c>
      <c r="D7">
        <v>7</v>
      </c>
      <c r="E7">
        <v>0.10200000000000001</v>
      </c>
      <c r="F7">
        <v>1.4</v>
      </c>
      <c r="G7">
        <v>6</v>
      </c>
      <c r="H7" t="s">
        <v>49</v>
      </c>
    </row>
    <row r="8" spans="1:8" x14ac:dyDescent="0.25">
      <c r="A8" t="s">
        <v>70</v>
      </c>
      <c r="B8" t="s">
        <v>4</v>
      </c>
      <c r="C8" s="18">
        <v>41395</v>
      </c>
      <c r="D8">
        <v>7</v>
      </c>
      <c r="E8">
        <v>1.8000000000000002E-2</v>
      </c>
      <c r="F8">
        <v>5.2</v>
      </c>
      <c r="G8">
        <v>7.1</v>
      </c>
      <c r="H8" t="s">
        <v>49</v>
      </c>
    </row>
    <row r="9" spans="1:8" x14ac:dyDescent="0.25">
      <c r="A9" t="s">
        <v>60</v>
      </c>
      <c r="B9" t="s">
        <v>4</v>
      </c>
      <c r="C9" s="18">
        <v>41883</v>
      </c>
      <c r="D9">
        <v>7</v>
      </c>
      <c r="E9">
        <v>0.3</v>
      </c>
      <c r="F9">
        <v>3.1</v>
      </c>
      <c r="G9">
        <v>7</v>
      </c>
      <c r="H9" t="s">
        <v>49</v>
      </c>
    </row>
    <row r="10" spans="1:8" x14ac:dyDescent="0.25">
      <c r="A10" t="s">
        <v>62</v>
      </c>
      <c r="B10" t="s">
        <v>4</v>
      </c>
      <c r="C10" s="18">
        <v>41640</v>
      </c>
      <c r="D10">
        <v>7</v>
      </c>
      <c r="E10">
        <v>0.252</v>
      </c>
      <c r="F10">
        <v>0.8</v>
      </c>
      <c r="G10">
        <v>1.7</v>
      </c>
      <c r="H10" t="s">
        <v>49</v>
      </c>
    </row>
    <row r="11" spans="1:8" x14ac:dyDescent="0.25">
      <c r="A11" t="s">
        <v>71</v>
      </c>
      <c r="B11" t="s">
        <v>4</v>
      </c>
      <c r="C11" s="18">
        <v>41913</v>
      </c>
      <c r="D11">
        <v>7</v>
      </c>
      <c r="E11">
        <v>0.28500000000000003</v>
      </c>
      <c r="F11">
        <v>8.5</v>
      </c>
      <c r="G11">
        <v>5.5</v>
      </c>
      <c r="H11" t="s">
        <v>49</v>
      </c>
    </row>
    <row r="12" spans="1:8" x14ac:dyDescent="0.25">
      <c r="A12" t="s">
        <v>72</v>
      </c>
      <c r="B12" t="s">
        <v>4</v>
      </c>
      <c r="C12" s="18">
        <v>41883</v>
      </c>
      <c r="D12">
        <v>7</v>
      </c>
      <c r="E12">
        <v>0.114</v>
      </c>
      <c r="F12">
        <v>3.1</v>
      </c>
      <c r="G12">
        <v>9.8000000000000007</v>
      </c>
      <c r="H12" t="s">
        <v>49</v>
      </c>
    </row>
    <row r="13" spans="1:8" x14ac:dyDescent="0.25">
      <c r="A13" t="s">
        <v>67</v>
      </c>
      <c r="B13" t="s">
        <v>4</v>
      </c>
      <c r="C13" s="18">
        <v>41730</v>
      </c>
      <c r="D13">
        <v>7</v>
      </c>
      <c r="E13">
        <v>0.255</v>
      </c>
      <c r="F13">
        <v>2.5</v>
      </c>
      <c r="G13">
        <v>2.2000000000000002</v>
      </c>
      <c r="H13" t="s">
        <v>49</v>
      </c>
    </row>
    <row r="14" spans="1:8" x14ac:dyDescent="0.25">
      <c r="A14" t="s">
        <v>63</v>
      </c>
      <c r="B14" t="s">
        <v>4</v>
      </c>
      <c r="C14" s="18">
        <v>41730</v>
      </c>
      <c r="D14">
        <v>7</v>
      </c>
      <c r="E14">
        <v>0.27900000000000003</v>
      </c>
      <c r="F14">
        <v>4</v>
      </c>
      <c r="G14">
        <v>4.3</v>
      </c>
      <c r="H14" t="s">
        <v>49</v>
      </c>
    </row>
    <row r="15" spans="1:8" x14ac:dyDescent="0.25">
      <c r="A15" t="s">
        <v>55</v>
      </c>
      <c r="B15" t="s">
        <v>4</v>
      </c>
      <c r="C15" s="18">
        <v>41122</v>
      </c>
      <c r="D15">
        <v>7</v>
      </c>
      <c r="E15">
        <v>0.123</v>
      </c>
      <c r="F15">
        <v>0.8</v>
      </c>
      <c r="G15">
        <v>6.6</v>
      </c>
      <c r="H15" t="s">
        <v>46</v>
      </c>
    </row>
    <row r="16" spans="1:8" x14ac:dyDescent="0.25">
      <c r="A16" t="s">
        <v>56</v>
      </c>
      <c r="B16" t="s">
        <v>4</v>
      </c>
      <c r="C16" s="18">
        <v>41395</v>
      </c>
      <c r="D16">
        <v>7</v>
      </c>
      <c r="E16">
        <v>0.255</v>
      </c>
      <c r="F16">
        <v>4.4000000000000004</v>
      </c>
      <c r="G16">
        <v>9.9</v>
      </c>
      <c r="H16" t="s">
        <v>49</v>
      </c>
    </row>
    <row r="17" spans="1:8" x14ac:dyDescent="0.25">
      <c r="A17" t="s">
        <v>73</v>
      </c>
      <c r="B17" t="s">
        <v>4</v>
      </c>
      <c r="C17" s="18">
        <v>41609</v>
      </c>
      <c r="D17">
        <v>7</v>
      </c>
      <c r="E17">
        <v>0.252</v>
      </c>
      <c r="F17">
        <v>9.4</v>
      </c>
      <c r="G17">
        <v>3.8</v>
      </c>
      <c r="H17" t="s">
        <v>49</v>
      </c>
    </row>
    <row r="18" spans="1:8" x14ac:dyDescent="0.25">
      <c r="A18" t="s">
        <v>74</v>
      </c>
      <c r="B18" t="s">
        <v>4</v>
      </c>
      <c r="C18" s="18">
        <v>41699</v>
      </c>
      <c r="D18">
        <v>7</v>
      </c>
      <c r="E18">
        <v>7.3999999999999996E-2</v>
      </c>
      <c r="F18">
        <v>5</v>
      </c>
      <c r="G18">
        <v>9.6</v>
      </c>
      <c r="H18" t="s">
        <v>49</v>
      </c>
    </row>
    <row r="19" spans="1:8" x14ac:dyDescent="0.25">
      <c r="A19" t="s">
        <v>57</v>
      </c>
      <c r="B19" t="s">
        <v>4</v>
      </c>
      <c r="C19" s="18">
        <v>41821</v>
      </c>
      <c r="D19">
        <v>7</v>
      </c>
      <c r="E19">
        <v>0.246</v>
      </c>
      <c r="F19">
        <v>2.9</v>
      </c>
      <c r="G19">
        <v>1.8</v>
      </c>
      <c r="H19" t="s">
        <v>49</v>
      </c>
    </row>
    <row r="20" spans="1:8" x14ac:dyDescent="0.25">
      <c r="A20" t="s">
        <v>75</v>
      </c>
      <c r="B20" t="s">
        <v>4</v>
      </c>
      <c r="C20" s="18">
        <v>41579</v>
      </c>
      <c r="D20">
        <v>7</v>
      </c>
      <c r="E20">
        <v>0.153</v>
      </c>
      <c r="F20">
        <v>4.7</v>
      </c>
      <c r="G20">
        <v>5.4</v>
      </c>
      <c r="H20" t="s">
        <v>49</v>
      </c>
    </row>
    <row r="21" spans="1:8" x14ac:dyDescent="0.25">
      <c r="A21" t="s">
        <v>58</v>
      </c>
      <c r="B21" t="s">
        <v>4</v>
      </c>
      <c r="C21" s="18">
        <v>41153</v>
      </c>
      <c r="D21">
        <v>7</v>
      </c>
      <c r="E21">
        <v>0.26700000000000002</v>
      </c>
      <c r="F21">
        <v>8</v>
      </c>
      <c r="G21">
        <v>7.7</v>
      </c>
      <c r="H21" t="s">
        <v>46</v>
      </c>
    </row>
    <row r="22" spans="1:8" x14ac:dyDescent="0.25">
      <c r="A22" t="s">
        <v>50</v>
      </c>
      <c r="B22" t="s">
        <v>3</v>
      </c>
      <c r="C22" s="18">
        <v>41122</v>
      </c>
      <c r="D22">
        <v>12</v>
      </c>
      <c r="E22">
        <v>0.19500000000000001</v>
      </c>
      <c r="F22">
        <v>7.1</v>
      </c>
      <c r="G22">
        <v>0.3</v>
      </c>
      <c r="H22" t="s">
        <v>46</v>
      </c>
    </row>
    <row r="23" spans="1:8" x14ac:dyDescent="0.25">
      <c r="A23" t="s">
        <v>76</v>
      </c>
      <c r="B23" t="s">
        <v>3</v>
      </c>
      <c r="C23" s="18">
        <v>41730</v>
      </c>
      <c r="D23">
        <v>12</v>
      </c>
      <c r="E23">
        <v>0.09</v>
      </c>
      <c r="F23">
        <v>2</v>
      </c>
      <c r="G23">
        <v>3.6</v>
      </c>
      <c r="H23" t="s">
        <v>49</v>
      </c>
    </row>
    <row r="24" spans="1:8" x14ac:dyDescent="0.25">
      <c r="A24" t="s">
        <v>77</v>
      </c>
      <c r="B24" t="s">
        <v>3</v>
      </c>
      <c r="C24" s="18">
        <v>41183</v>
      </c>
      <c r="D24">
        <v>12</v>
      </c>
      <c r="E24">
        <v>4.8000000000000001E-2</v>
      </c>
      <c r="F24">
        <v>9.5</v>
      </c>
      <c r="G24">
        <v>9.4</v>
      </c>
      <c r="H24" t="s">
        <v>46</v>
      </c>
    </row>
    <row r="25" spans="1:8" x14ac:dyDescent="0.25">
      <c r="A25" t="s">
        <v>51</v>
      </c>
      <c r="B25" t="s">
        <v>3</v>
      </c>
      <c r="C25" s="18">
        <v>41122</v>
      </c>
      <c r="D25">
        <v>12</v>
      </c>
      <c r="E25">
        <v>0.216</v>
      </c>
      <c r="F25">
        <v>5.5</v>
      </c>
      <c r="G25">
        <v>4.5999999999999996</v>
      </c>
      <c r="H25" t="s">
        <v>46</v>
      </c>
    </row>
    <row r="26" spans="1:8" x14ac:dyDescent="0.25">
      <c r="A26" t="s">
        <v>52</v>
      </c>
      <c r="B26" t="s">
        <v>3</v>
      </c>
      <c r="C26" s="18">
        <v>41183</v>
      </c>
      <c r="D26">
        <v>12</v>
      </c>
      <c r="E26">
        <v>0.13500000000000001</v>
      </c>
      <c r="F26">
        <v>5.8</v>
      </c>
      <c r="G26">
        <v>9.6</v>
      </c>
      <c r="H26" t="s">
        <v>46</v>
      </c>
    </row>
    <row r="27" spans="1:8" x14ac:dyDescent="0.25">
      <c r="A27" t="s">
        <v>54</v>
      </c>
      <c r="B27" t="s">
        <v>3</v>
      </c>
      <c r="C27" s="18">
        <v>41426</v>
      </c>
      <c r="D27">
        <v>12</v>
      </c>
      <c r="E27">
        <v>0.19500000000000001</v>
      </c>
      <c r="F27">
        <v>5</v>
      </c>
      <c r="G27">
        <v>5</v>
      </c>
      <c r="H27" t="s">
        <v>49</v>
      </c>
    </row>
    <row r="28" spans="1:8" x14ac:dyDescent="0.25">
      <c r="A28" t="s">
        <v>68</v>
      </c>
      <c r="B28" t="s">
        <v>3</v>
      </c>
      <c r="C28" s="18">
        <v>41579</v>
      </c>
      <c r="D28">
        <v>12</v>
      </c>
      <c r="E28">
        <v>6.3E-2</v>
      </c>
      <c r="F28">
        <v>9.3000000000000007</v>
      </c>
      <c r="G28">
        <v>7.2</v>
      </c>
      <c r="H28" t="s">
        <v>49</v>
      </c>
    </row>
    <row r="29" spans="1:8" x14ac:dyDescent="0.25">
      <c r="A29" t="s">
        <v>53</v>
      </c>
      <c r="B29" t="s">
        <v>3</v>
      </c>
      <c r="C29" s="18">
        <v>41395</v>
      </c>
      <c r="D29">
        <v>12</v>
      </c>
      <c r="E29">
        <v>4.8000000000000001E-2</v>
      </c>
      <c r="F29">
        <v>6.5</v>
      </c>
      <c r="G29">
        <v>4.9000000000000004</v>
      </c>
      <c r="H29" t="s">
        <v>49</v>
      </c>
    </row>
    <row r="30" spans="1:8" x14ac:dyDescent="0.25">
      <c r="A30" t="s">
        <v>64</v>
      </c>
      <c r="B30" t="s">
        <v>3</v>
      </c>
      <c r="C30" s="18">
        <v>41913</v>
      </c>
      <c r="D30">
        <v>12</v>
      </c>
      <c r="E30">
        <v>0.123</v>
      </c>
      <c r="F30">
        <v>7</v>
      </c>
      <c r="G30">
        <v>3.3</v>
      </c>
      <c r="H30" t="s">
        <v>49</v>
      </c>
    </row>
    <row r="31" spans="1:8" x14ac:dyDescent="0.25">
      <c r="A31" t="s">
        <v>65</v>
      </c>
      <c r="B31" t="s">
        <v>3</v>
      </c>
      <c r="C31" s="18">
        <v>41913</v>
      </c>
      <c r="D31">
        <v>12</v>
      </c>
      <c r="E31">
        <v>0.111</v>
      </c>
      <c r="F31">
        <v>9.1</v>
      </c>
      <c r="G31">
        <v>4.7</v>
      </c>
      <c r="H31" t="s">
        <v>49</v>
      </c>
    </row>
    <row r="32" spans="1:8" x14ac:dyDescent="0.25">
      <c r="A32" t="s">
        <v>61</v>
      </c>
    </row>
  </sheetData>
  <dataConsolidate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43</vt:i4>
      </vt:variant>
    </vt:vector>
  </HeadingPairs>
  <TitlesOfParts>
    <vt:vector size="47" baseType="lpstr">
      <vt:lpstr>Einstellungen</vt:lpstr>
      <vt:lpstr>Projektdefinition Ressourcen</vt:lpstr>
      <vt:lpstr>Projektdefinition Kosten</vt:lpstr>
      <vt:lpstr>Portfolio</vt:lpstr>
      <vt:lpstr>AmpelGelb</vt:lpstr>
      <vt:lpstr>AmpelGruen</vt:lpstr>
      <vt:lpstr>AmpelNichtBewertet</vt:lpstr>
      <vt:lpstr>AmpelRot</vt:lpstr>
      <vt:lpstr>Arbeitstage_pro_Monat</vt:lpstr>
      <vt:lpstr>awin_Kosten_Definition</vt:lpstr>
      <vt:lpstr>awin_Phasen_Definition</vt:lpstr>
      <vt:lpstr>awin_Rollen_Definition</vt:lpstr>
      <vt:lpstr>Datenbank</vt:lpstr>
      <vt:lpstr>EinzelRessourcenExport</vt:lpstr>
      <vt:lpstr>Ergebnisfarbe1</vt:lpstr>
      <vt:lpstr>Ergebnisfarbe2</vt:lpstr>
      <vt:lpstr>Farbe_externe_Ressourcen</vt:lpstr>
      <vt:lpstr>Farbe_für_Projekte_ohne_Vorlage</vt:lpstr>
      <vt:lpstr>Farbe_intern_ohne_Projekte</vt:lpstr>
      <vt:lpstr>Farbe_Ress_Kost_Werte</vt:lpstr>
      <vt:lpstr>GlowColor</vt:lpstr>
      <vt:lpstr>kapaEinheit</vt:lpstr>
      <vt:lpstr>Linker_Rand_Ressourcen_Diagramme</vt:lpstr>
      <vt:lpstr>Max_Dauer_eines_Projektes</vt:lpstr>
      <vt:lpstr>NoShow_Time_Zone_Color</vt:lpstr>
      <vt:lpstr>offsetEinheit</vt:lpstr>
      <vt:lpstr>P1_CostDefinition</vt:lpstr>
      <vt:lpstr>P1_Definition</vt:lpstr>
      <vt:lpstr>P2_CostDefinition</vt:lpstr>
      <vt:lpstr>P2_Definition</vt:lpstr>
      <vt:lpstr>P3_CostDefinition</vt:lpstr>
      <vt:lpstr>P3_Definition</vt:lpstr>
      <vt:lpstr>Projektliste</vt:lpstr>
      <vt:lpstr>Rechter_Rand_Ressourcen_Diagramme</vt:lpstr>
      <vt:lpstr>Show_Time_Zone_Color</vt:lpstr>
      <vt:lpstr>Soll_Ist_Farbe_Aktuell</vt:lpstr>
      <vt:lpstr>Soll_Ist_Farbe_Beauftragung</vt:lpstr>
      <vt:lpstr>Soll_Ist_Farbe_letzte_Freigabe</vt:lpstr>
      <vt:lpstr>Spaltenbreite</vt:lpstr>
      <vt:lpstr>Start_Kalender</vt:lpstr>
      <vt:lpstr>Vergleichsfarbe1</vt:lpstr>
      <vt:lpstr>Vergleichsfarbe2</vt:lpstr>
      <vt:lpstr>Vergleichsfarbe3</vt:lpstr>
      <vt:lpstr>WeightStrategicFit</vt:lpstr>
      <vt:lpstr>Zeilenhoehe1</vt:lpstr>
      <vt:lpstr>Zeilenhoehe2</vt:lpstr>
      <vt:lpstr>Zeiteinheit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tom</cp:lastModifiedBy>
  <dcterms:created xsi:type="dcterms:W3CDTF">2013-01-26T14:59:08Z</dcterms:created>
  <dcterms:modified xsi:type="dcterms:W3CDTF">2014-04-06T18:03:30Z</dcterms:modified>
</cp:coreProperties>
</file>