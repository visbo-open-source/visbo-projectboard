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always" codeName="DieseArbeitsmappe" defaultThemeVersion="124226"/>
  <bookViews>
    <workbookView showSheetTabs="0" xWindow="120" yWindow="195" windowWidth="15600" windowHeight="11640"/>
  </bookViews>
  <sheets>
    <sheet name="Einstellungen" sheetId="4" r:id="rId1"/>
    <sheet name="Projektdefinition Ressourcen" sheetId="5" state="hidden" r:id="rId2"/>
    <sheet name="Projektdefinition Kosten" sheetId="6" state="hidden" r:id="rId3"/>
    <sheet name="Portfolio" sheetId="7" state="hidden" r:id="rId4"/>
  </sheets>
  <externalReferences>
    <externalReference r:id="rId5"/>
  </externalReferences>
  <definedNames>
    <definedName name="AmpelGelb">Einstellungen!$B$81</definedName>
    <definedName name="AmpelGruen">Einstellungen!$B$80</definedName>
    <definedName name="AmpelNichtBewertet">Einstellungen!$B$83</definedName>
    <definedName name="AmpelRot">Einstellungen!$B$82</definedName>
    <definedName name="Arbeitstage_pro_Monat">Einstellungen!$B$67</definedName>
    <definedName name="awin_Kosten_Definition">Einstellungen!$B$52:$B$56</definedName>
    <definedName name="awin_Phasen_Definition">Einstellungen!$B$7:$B$42</definedName>
    <definedName name="awin_Projekt_Definition">Einstellungen!#REF!</definedName>
    <definedName name="awin_Rollen_Definition">Einstellungen!$B$45:$B$50</definedName>
    <definedName name="_xlnm.Database">Einstellungen!$B$90</definedName>
    <definedName name="EinzelRessourcenExport">Einstellungen!$B$94</definedName>
    <definedName name="Ergebnisfarbe1">Einstellungen!$B$75</definedName>
    <definedName name="Ergebnisfarbe2">Einstellungen!$B$76</definedName>
    <definedName name="Farbe_externe_Ressourcen">Einstellungen!$B$69</definedName>
    <definedName name="Farbe_für_Projekte_ohne_Vorlage">Einstellungen!$B$70</definedName>
    <definedName name="Farbe_intern_ohne_Projekte">Einstellungen!$B$68</definedName>
    <definedName name="Farbe_Ress_Kost_Werte">Einstellungen!$B$71</definedName>
    <definedName name="GlowColor">Einstellungen!$B$84</definedName>
    <definedName name="kapaEinheit">Einstellungen!$B$88</definedName>
    <definedName name="Linker_Rand_Ressourcen_Diagramme">Einstellungen!$B$63</definedName>
    <definedName name="Max_Dauer_eines_Projektes">Einstellungen!$B$62</definedName>
    <definedName name="NoShow_Time_Zone_Color">Einstellungen!$B$66</definedName>
    <definedName name="offsetEinheit">Einstellungen!$B$89</definedName>
    <definedName name="P1_CostDefinition">'Projektdefinition Kosten'!$A$2:$A$18</definedName>
    <definedName name="P1_Definition">'Projektdefinition Ressourcen'!$A$2:$A$19</definedName>
    <definedName name="P2_CostDefinition">'Projektdefinition Kosten'!$A$21:$A$31</definedName>
    <definedName name="P2_Definition">'Projektdefinition Ressourcen'!$A$22:$A$36</definedName>
    <definedName name="P3_CostDefinition">'Projektdefinition Kosten'!$A$34:$A$43</definedName>
    <definedName name="P3_Definition">'Projektdefinition Ressourcen'!$A$39:$A$50</definedName>
    <definedName name="P4_CostDefinition" localSheetId="3">'[1]Projektdefinition Kosten'!#REF!</definedName>
    <definedName name="P4_CostDefinition">'Projektdefinition Kosten'!#REF!</definedName>
    <definedName name="P4_Definition" localSheetId="3">'[1]Projektdefinition Ressourcen'!#REF!</definedName>
    <definedName name="P4_Definition" localSheetId="2">'[1]Projektdefinition Ressourcen'!#REF!</definedName>
    <definedName name="P4_Definition">'Projektdefinition Ressourcen'!#REF!</definedName>
    <definedName name="P5_CostDefinition" localSheetId="3">'[1]Projektdefinition Kosten'!#REF!</definedName>
    <definedName name="P5_CostDefinition">'Projektdefinition Kosten'!#REF!</definedName>
    <definedName name="P5_Definition" localSheetId="3">'[1]Projektdefinition Ressourcen'!#REF!</definedName>
    <definedName name="P5_Definition" localSheetId="2">'[1]Projektdefinition Ressourcen'!#REF!</definedName>
    <definedName name="P5_Definition">'Projektdefinition Ressourcen'!#REF!</definedName>
    <definedName name="Positivliste">Einstellungen!$A$98:$B$114</definedName>
    <definedName name="Projektliste">Portfolio!$A$23</definedName>
    <definedName name="Rechter_Rand_Ressourcen_Diagramme">Einstellungen!$B$64</definedName>
    <definedName name="Show_Time_Zone_Color">Einstellungen!$B$65</definedName>
    <definedName name="Soll_Ist_Farbe_Aktuell">Einstellungen!$B$79</definedName>
    <definedName name="Soll_Ist_Farbe_Beauftragung">Einstellungen!$B$77</definedName>
    <definedName name="Soll_Ist_Farbe_letzte_Freigabe">Einstellungen!$B$78</definedName>
    <definedName name="Spaltenbreite">Einstellungen!$B$93</definedName>
    <definedName name="Start_Kalender">Einstellungen!$B$86</definedName>
    <definedName name="Vergleichsfarbe1">Einstellungen!$B$72</definedName>
    <definedName name="Vergleichsfarbe2">Einstellungen!$B$73</definedName>
    <definedName name="Vergleichsfarbe3">Einstellungen!$B$74</definedName>
    <definedName name="WeightStrategicFit">Einstellungen!$B$85</definedName>
    <definedName name="Zeilenhoehe1">Einstellungen!$B$91</definedName>
    <definedName name="Zeilenhoehe2">Einstellungen!$B$92</definedName>
    <definedName name="Zeiteinheit">Einstellungen!$B$87</definedName>
  </definedNames>
  <calcPr calcId="145621"/>
</workbook>
</file>

<file path=xl/calcChain.xml><?xml version="1.0" encoding="utf-8"?>
<calcChain xmlns="http://schemas.openxmlformats.org/spreadsheetml/2006/main">
  <c r="F47" i="4" l="1"/>
  <c r="G47" i="4" s="1"/>
  <c r="H47" i="4" s="1"/>
  <c r="I47" i="4" s="1"/>
  <c r="J47" i="4" s="1"/>
  <c r="K47" i="4" s="1"/>
  <c r="L47" i="4" s="1"/>
  <c r="M47" i="4" s="1"/>
  <c r="N47" i="4" s="1"/>
  <c r="O47" i="4" s="1"/>
  <c r="P47" i="4" s="1"/>
  <c r="Q47" i="4" s="1"/>
  <c r="R47" i="4" s="1"/>
  <c r="S47" i="4" s="1"/>
  <c r="T47" i="4" s="1"/>
  <c r="U47" i="4" s="1"/>
  <c r="V47" i="4" s="1"/>
  <c r="W47" i="4" s="1"/>
  <c r="X47" i="4" s="1"/>
  <c r="Y47" i="4" s="1"/>
  <c r="Z47" i="4" s="1"/>
  <c r="AA47" i="4" s="1"/>
  <c r="AB47" i="4" s="1"/>
  <c r="AC47" i="4" s="1"/>
  <c r="AD47" i="4" s="1"/>
  <c r="AE47" i="4" s="1"/>
  <c r="AF47" i="4" s="1"/>
  <c r="AG47" i="4" s="1"/>
  <c r="AH47" i="4" s="1"/>
  <c r="AI47" i="4" s="1"/>
  <c r="AJ47" i="4" s="1"/>
  <c r="AK47" i="4" s="1"/>
  <c r="AL47" i="4" s="1"/>
  <c r="AM47" i="4" s="1"/>
  <c r="AN47" i="4" s="1"/>
  <c r="AO47" i="4" s="1"/>
  <c r="AP47" i="4" s="1"/>
  <c r="AQ47" i="4" s="1"/>
  <c r="AR47" i="4" s="1"/>
  <c r="AS47" i="4" s="1"/>
  <c r="AT47" i="4" s="1"/>
  <c r="AU47" i="4" s="1"/>
  <c r="AV47" i="4" s="1"/>
  <c r="AW47" i="4" s="1"/>
  <c r="AX47" i="4" s="1"/>
  <c r="AY47" i="4" s="1"/>
  <c r="AZ47" i="4" s="1"/>
  <c r="BA47" i="4" s="1"/>
  <c r="BB47" i="4" s="1"/>
  <c r="BC47" i="4" s="1"/>
  <c r="BD47" i="4" s="1"/>
  <c r="BE47" i="4" s="1"/>
  <c r="BF47" i="4" s="1"/>
  <c r="BG47" i="4" s="1"/>
  <c r="BH47" i="4" s="1"/>
  <c r="BI47" i="4" s="1"/>
  <c r="BJ47" i="4" s="1"/>
  <c r="BK47" i="4" s="1"/>
  <c r="BL47" i="4" s="1"/>
  <c r="BM47" i="4" s="1"/>
  <c r="BN47" i="4" s="1"/>
  <c r="BO47" i="4" s="1"/>
  <c r="BP47" i="4" s="1"/>
  <c r="BQ47" i="4" s="1"/>
  <c r="BR47" i="4" s="1"/>
  <c r="BS47" i="4" s="1"/>
  <c r="BT47" i="4" s="1"/>
  <c r="BU47" i="4" s="1"/>
  <c r="BV47" i="4" s="1"/>
  <c r="BW47" i="4" s="1"/>
  <c r="BX47" i="4" s="1"/>
  <c r="BY47" i="4" s="1"/>
  <c r="BZ47" i="4" s="1"/>
  <c r="CA47" i="4" s="1"/>
  <c r="CB47" i="4" s="1"/>
  <c r="CC47" i="4" s="1"/>
  <c r="CD47" i="4" s="1"/>
  <c r="CE47" i="4" s="1"/>
  <c r="CF47" i="4" s="1"/>
  <c r="CG47" i="4" s="1"/>
  <c r="CH47" i="4" s="1"/>
  <c r="CI47" i="4" s="1"/>
  <c r="CJ47" i="4" s="1"/>
  <c r="CK47" i="4" s="1"/>
  <c r="CL47" i="4" s="1"/>
  <c r="CM47" i="4" s="1"/>
  <c r="CN47" i="4" s="1"/>
  <c r="CO47" i="4" s="1"/>
  <c r="CP47" i="4" s="1"/>
  <c r="CQ47" i="4" s="1"/>
  <c r="CR47" i="4" s="1"/>
  <c r="CS47" i="4" s="1"/>
  <c r="CT47" i="4" s="1"/>
  <c r="CU47" i="4" s="1"/>
  <c r="CV47" i="4" s="1"/>
  <c r="CW47" i="4" s="1"/>
  <c r="CX47" i="4" s="1"/>
  <c r="CY47" i="4" s="1"/>
  <c r="CZ47" i="4" s="1"/>
  <c r="DA47" i="4" s="1"/>
  <c r="DB47" i="4" s="1"/>
  <c r="DC47" i="4" s="1"/>
  <c r="DD47" i="4" s="1"/>
  <c r="DE47" i="4" s="1"/>
  <c r="DF47" i="4" s="1"/>
  <c r="DG47" i="4" s="1"/>
  <c r="DH47" i="4" s="1"/>
  <c r="DI47" i="4" s="1"/>
  <c r="DJ47" i="4" s="1"/>
  <c r="DK47" i="4" s="1"/>
  <c r="DL47" i="4" s="1"/>
  <c r="DM47" i="4" s="1"/>
  <c r="DN47" i="4" s="1"/>
  <c r="DO47" i="4" s="1"/>
  <c r="DP47" i="4" s="1"/>
  <c r="DQ47" i="4" s="1"/>
  <c r="DR47" i="4" s="1"/>
  <c r="DS47" i="4" s="1"/>
  <c r="DT47" i="4" s="1"/>
  <c r="DU47" i="4" s="1"/>
  <c r="DV47" i="4" s="1"/>
  <c r="DW47" i="4" s="1"/>
  <c r="DX47" i="4" s="1"/>
  <c r="DY47" i="4" s="1"/>
  <c r="DZ47" i="4" s="1"/>
  <c r="EA47" i="4" s="1"/>
  <c r="EB47" i="4" s="1"/>
  <c r="EC47" i="4" s="1"/>
  <c r="ED47" i="4" s="1"/>
  <c r="EE47" i="4" s="1"/>
  <c r="EF47" i="4" s="1"/>
  <c r="EG47" i="4" s="1"/>
  <c r="F48" i="4"/>
  <c r="G48" i="4" s="1"/>
  <c r="H48" i="4" s="1"/>
  <c r="I48" i="4" s="1"/>
  <c r="J48" i="4" s="1"/>
  <c r="K48" i="4" s="1"/>
  <c r="L48" i="4" s="1"/>
  <c r="M48" i="4" s="1"/>
  <c r="N48" i="4" s="1"/>
  <c r="O48" i="4" s="1"/>
  <c r="P48" i="4" s="1"/>
  <c r="Q48" i="4" s="1"/>
  <c r="R48" i="4" s="1"/>
  <c r="S48" i="4" s="1"/>
  <c r="T48" i="4" s="1"/>
  <c r="U48" i="4" s="1"/>
  <c r="V48" i="4" s="1"/>
  <c r="W48" i="4" s="1"/>
  <c r="X48" i="4" s="1"/>
  <c r="Y48" i="4" s="1"/>
  <c r="Z48" i="4" s="1"/>
  <c r="AA48" i="4" s="1"/>
  <c r="AB48" i="4" s="1"/>
  <c r="AC48" i="4" s="1"/>
  <c r="AD48" i="4" s="1"/>
  <c r="AE48" i="4" s="1"/>
  <c r="AF48" i="4" s="1"/>
  <c r="AG48" i="4" s="1"/>
  <c r="AH48" i="4" s="1"/>
  <c r="AI48" i="4" s="1"/>
  <c r="AJ48" i="4" s="1"/>
  <c r="AK48" i="4" s="1"/>
  <c r="AL48" i="4" s="1"/>
  <c r="AM48" i="4" s="1"/>
  <c r="AN48" i="4" s="1"/>
  <c r="AO48" i="4" s="1"/>
  <c r="AP48" i="4" s="1"/>
  <c r="AQ48" i="4" s="1"/>
  <c r="AR48" i="4" s="1"/>
  <c r="AS48" i="4" s="1"/>
  <c r="AT48" i="4" s="1"/>
  <c r="AU48" i="4" s="1"/>
  <c r="AV48" i="4" s="1"/>
  <c r="AW48" i="4" s="1"/>
  <c r="AX48" i="4" s="1"/>
  <c r="AY48" i="4" s="1"/>
  <c r="AZ48" i="4" s="1"/>
  <c r="BA48" i="4" s="1"/>
  <c r="BB48" i="4" s="1"/>
  <c r="BC48" i="4" s="1"/>
  <c r="BD48" i="4" s="1"/>
  <c r="BE48" i="4" s="1"/>
  <c r="BF48" i="4" s="1"/>
  <c r="BG48" i="4" s="1"/>
  <c r="BH48" i="4" s="1"/>
  <c r="BI48" i="4" s="1"/>
  <c r="BJ48" i="4" s="1"/>
  <c r="BK48" i="4" s="1"/>
  <c r="BL48" i="4" s="1"/>
  <c r="BM48" i="4" s="1"/>
  <c r="BN48" i="4" s="1"/>
  <c r="BO48" i="4" s="1"/>
  <c r="BP48" i="4" s="1"/>
  <c r="BQ48" i="4" s="1"/>
  <c r="BR48" i="4" s="1"/>
  <c r="BS48" i="4" s="1"/>
  <c r="BT48" i="4" s="1"/>
  <c r="BU48" i="4" s="1"/>
  <c r="BV48" i="4" s="1"/>
  <c r="BW48" i="4" s="1"/>
  <c r="BX48" i="4" s="1"/>
  <c r="BY48" i="4" s="1"/>
  <c r="BZ48" i="4" s="1"/>
  <c r="CA48" i="4" s="1"/>
  <c r="CB48" i="4" s="1"/>
  <c r="CC48" i="4" s="1"/>
  <c r="CD48" i="4" s="1"/>
  <c r="CE48" i="4" s="1"/>
  <c r="CF48" i="4" s="1"/>
  <c r="CG48" i="4" s="1"/>
  <c r="CH48" i="4" s="1"/>
  <c r="CI48" i="4" s="1"/>
  <c r="CJ48" i="4" s="1"/>
  <c r="CK48" i="4" s="1"/>
  <c r="CL48" i="4" s="1"/>
  <c r="CM48" i="4" s="1"/>
  <c r="CN48" i="4" s="1"/>
  <c r="CO48" i="4" s="1"/>
  <c r="CP48" i="4" s="1"/>
  <c r="CQ48" i="4" s="1"/>
  <c r="CR48" i="4" s="1"/>
  <c r="CS48" i="4" s="1"/>
  <c r="CT48" i="4" s="1"/>
  <c r="CU48" i="4" s="1"/>
  <c r="CV48" i="4" s="1"/>
  <c r="CW48" i="4" s="1"/>
  <c r="CX48" i="4" s="1"/>
  <c r="CY48" i="4" s="1"/>
  <c r="CZ48" i="4" s="1"/>
  <c r="DA48" i="4" s="1"/>
  <c r="DB48" i="4" s="1"/>
  <c r="DC48" i="4" s="1"/>
  <c r="DD48" i="4" s="1"/>
  <c r="DE48" i="4" s="1"/>
  <c r="DF48" i="4" s="1"/>
  <c r="DG48" i="4" s="1"/>
  <c r="DH48" i="4" s="1"/>
  <c r="DI48" i="4" s="1"/>
  <c r="DJ48" i="4" s="1"/>
  <c r="DK48" i="4" s="1"/>
  <c r="DL48" i="4" s="1"/>
  <c r="DM48" i="4" s="1"/>
  <c r="DN48" i="4" s="1"/>
  <c r="DO48" i="4" s="1"/>
  <c r="DP48" i="4" s="1"/>
  <c r="DQ48" i="4" s="1"/>
  <c r="DR48" i="4" s="1"/>
  <c r="DS48" i="4" s="1"/>
  <c r="DT48" i="4" s="1"/>
  <c r="DU48" i="4" s="1"/>
  <c r="DV48" i="4" s="1"/>
  <c r="DW48" i="4" s="1"/>
  <c r="DX48" i="4" s="1"/>
  <c r="DY48" i="4" s="1"/>
  <c r="DZ48" i="4" s="1"/>
  <c r="EA48" i="4" s="1"/>
  <c r="EB48" i="4" s="1"/>
  <c r="EC48" i="4" s="1"/>
  <c r="ED48" i="4" s="1"/>
  <c r="EE48" i="4" s="1"/>
  <c r="EF48" i="4" s="1"/>
  <c r="EG48" i="4" s="1"/>
  <c r="F49" i="4"/>
  <c r="G49" i="4" s="1"/>
  <c r="H49" i="4" s="1"/>
  <c r="I49" i="4" s="1"/>
  <c r="J49" i="4" s="1"/>
  <c r="K49" i="4" s="1"/>
  <c r="L49" i="4" s="1"/>
  <c r="M49" i="4" s="1"/>
  <c r="N49" i="4" s="1"/>
  <c r="O49" i="4" s="1"/>
  <c r="P49" i="4" s="1"/>
  <c r="Q49" i="4" s="1"/>
  <c r="R49" i="4" s="1"/>
  <c r="S49" i="4" s="1"/>
  <c r="T49" i="4" s="1"/>
  <c r="U49" i="4" s="1"/>
  <c r="V49" i="4" s="1"/>
  <c r="W49" i="4" s="1"/>
  <c r="X49" i="4" s="1"/>
  <c r="Y49" i="4" s="1"/>
  <c r="Z49" i="4" s="1"/>
  <c r="AA49" i="4" s="1"/>
  <c r="AB49" i="4" s="1"/>
  <c r="AC49" i="4" s="1"/>
  <c r="AD49" i="4" s="1"/>
  <c r="AE49" i="4" s="1"/>
  <c r="AF49" i="4" s="1"/>
  <c r="AG49" i="4" s="1"/>
  <c r="AH49" i="4" s="1"/>
  <c r="AI49" i="4" s="1"/>
  <c r="AJ49" i="4" s="1"/>
  <c r="AK49" i="4" s="1"/>
  <c r="AL49" i="4" s="1"/>
  <c r="AM49" i="4" s="1"/>
  <c r="AN49" i="4" s="1"/>
  <c r="AO49" i="4" s="1"/>
  <c r="AP49" i="4" s="1"/>
  <c r="AQ49" i="4" s="1"/>
  <c r="AR49" i="4" s="1"/>
  <c r="AS49" i="4" s="1"/>
  <c r="AT49" i="4" s="1"/>
  <c r="AU49" i="4" s="1"/>
  <c r="AV49" i="4" s="1"/>
  <c r="AW49" i="4" s="1"/>
  <c r="AX49" i="4" s="1"/>
  <c r="AY49" i="4" s="1"/>
  <c r="AZ49" i="4" s="1"/>
  <c r="BA49" i="4" s="1"/>
  <c r="BB49" i="4" s="1"/>
  <c r="BC49" i="4" s="1"/>
  <c r="BD49" i="4" s="1"/>
  <c r="BE49" i="4" s="1"/>
  <c r="BF49" i="4" s="1"/>
  <c r="BG49" i="4" s="1"/>
  <c r="BH49" i="4" s="1"/>
  <c r="BI49" i="4" s="1"/>
  <c r="BJ49" i="4" s="1"/>
  <c r="BK49" i="4" s="1"/>
  <c r="BL49" i="4" s="1"/>
  <c r="BM49" i="4" s="1"/>
  <c r="BN49" i="4" s="1"/>
  <c r="BO49" i="4" s="1"/>
  <c r="BP49" i="4" s="1"/>
  <c r="BQ49" i="4" s="1"/>
  <c r="BR49" i="4" s="1"/>
  <c r="BS49" i="4" s="1"/>
  <c r="BT49" i="4" s="1"/>
  <c r="BU49" i="4" s="1"/>
  <c r="BV49" i="4" s="1"/>
  <c r="BW49" i="4" s="1"/>
  <c r="BX49" i="4" s="1"/>
  <c r="BY49" i="4" s="1"/>
  <c r="BZ49" i="4" s="1"/>
  <c r="CA49" i="4" s="1"/>
  <c r="CB49" i="4" s="1"/>
  <c r="CC49" i="4" s="1"/>
  <c r="CD49" i="4" s="1"/>
  <c r="CE49" i="4" s="1"/>
  <c r="CF49" i="4" s="1"/>
  <c r="CG49" i="4" s="1"/>
  <c r="CH49" i="4" s="1"/>
  <c r="CI49" i="4" s="1"/>
  <c r="CJ49" i="4" s="1"/>
  <c r="CK49" i="4" s="1"/>
  <c r="CL49" i="4" s="1"/>
  <c r="CM49" i="4" s="1"/>
  <c r="CN49" i="4" s="1"/>
  <c r="CO49" i="4" s="1"/>
  <c r="CP49" i="4" s="1"/>
  <c r="CQ49" i="4" s="1"/>
  <c r="CR49" i="4" s="1"/>
  <c r="CS49" i="4" s="1"/>
  <c r="CT49" i="4" s="1"/>
  <c r="CU49" i="4" s="1"/>
  <c r="CV49" i="4" s="1"/>
  <c r="CW49" i="4" s="1"/>
  <c r="CX49" i="4" s="1"/>
  <c r="CY49" i="4" s="1"/>
  <c r="CZ49" i="4" s="1"/>
  <c r="DA49" i="4" s="1"/>
  <c r="DB49" i="4" s="1"/>
  <c r="DC49" i="4" s="1"/>
  <c r="DD49" i="4" s="1"/>
  <c r="DE49" i="4" s="1"/>
  <c r="DF49" i="4" s="1"/>
  <c r="DG49" i="4" s="1"/>
  <c r="DH49" i="4" s="1"/>
  <c r="DI49" i="4" s="1"/>
  <c r="DJ49" i="4" s="1"/>
  <c r="DK49" i="4" s="1"/>
  <c r="DL49" i="4" s="1"/>
  <c r="DM49" i="4" s="1"/>
  <c r="DN49" i="4" s="1"/>
  <c r="DO49" i="4" s="1"/>
  <c r="DP49" i="4" s="1"/>
  <c r="DQ49" i="4" s="1"/>
  <c r="DR49" i="4" s="1"/>
  <c r="DS49" i="4" s="1"/>
  <c r="DT49" i="4" s="1"/>
  <c r="DU49" i="4" s="1"/>
  <c r="DV49" i="4" s="1"/>
  <c r="DW49" i="4" s="1"/>
  <c r="DX49" i="4" s="1"/>
  <c r="DY49" i="4" s="1"/>
  <c r="DZ49" i="4" s="1"/>
  <c r="EA49" i="4" s="1"/>
  <c r="EB49" i="4" s="1"/>
  <c r="EC49" i="4" s="1"/>
  <c r="ED49" i="4" s="1"/>
  <c r="EE49" i="4" s="1"/>
  <c r="EF49" i="4" s="1"/>
  <c r="EG49" i="4" s="1"/>
  <c r="F46" i="4"/>
  <c r="G46" i="4" s="1"/>
  <c r="H46" i="4" s="1"/>
  <c r="I46" i="4" s="1"/>
  <c r="J46" i="4" s="1"/>
  <c r="K46" i="4" s="1"/>
  <c r="L46" i="4" s="1"/>
  <c r="M46" i="4" s="1"/>
  <c r="N46" i="4" s="1"/>
  <c r="O46" i="4" s="1"/>
  <c r="P46" i="4" s="1"/>
  <c r="Q46" i="4" s="1"/>
  <c r="R46" i="4" s="1"/>
  <c r="S46" i="4" s="1"/>
  <c r="T46" i="4" s="1"/>
  <c r="U46" i="4" s="1"/>
  <c r="V46" i="4" s="1"/>
  <c r="W46" i="4" s="1"/>
  <c r="X46" i="4" s="1"/>
  <c r="Y46" i="4" s="1"/>
  <c r="Z46" i="4" s="1"/>
  <c r="AA46" i="4" s="1"/>
  <c r="AB46" i="4" s="1"/>
  <c r="AC46" i="4" s="1"/>
  <c r="AD46" i="4" s="1"/>
  <c r="AE46" i="4" s="1"/>
  <c r="AF46" i="4" s="1"/>
  <c r="AG46" i="4" s="1"/>
  <c r="AH46" i="4" s="1"/>
  <c r="AI46" i="4" s="1"/>
  <c r="AJ46" i="4" s="1"/>
  <c r="AK46" i="4" s="1"/>
  <c r="AL46" i="4" s="1"/>
  <c r="AM46" i="4" s="1"/>
  <c r="AN46" i="4" s="1"/>
  <c r="AO46" i="4" s="1"/>
  <c r="AP46" i="4" s="1"/>
  <c r="AQ46" i="4" s="1"/>
  <c r="AR46" i="4" s="1"/>
  <c r="AS46" i="4" s="1"/>
  <c r="AT46" i="4" s="1"/>
  <c r="AU46" i="4" s="1"/>
  <c r="AV46" i="4" s="1"/>
  <c r="AW46" i="4" s="1"/>
  <c r="AX46" i="4" s="1"/>
  <c r="AY46" i="4" s="1"/>
  <c r="AZ46" i="4" s="1"/>
  <c r="BA46" i="4" s="1"/>
  <c r="BB46" i="4" s="1"/>
  <c r="BC46" i="4" s="1"/>
  <c r="BD46" i="4" s="1"/>
  <c r="BE46" i="4" s="1"/>
  <c r="BF46" i="4" s="1"/>
  <c r="BG46" i="4" s="1"/>
  <c r="BH46" i="4" s="1"/>
  <c r="BI46" i="4" s="1"/>
  <c r="BJ46" i="4" s="1"/>
  <c r="BK46" i="4" s="1"/>
  <c r="BL46" i="4" s="1"/>
  <c r="BM46" i="4" s="1"/>
  <c r="BN46" i="4" s="1"/>
  <c r="BO46" i="4" s="1"/>
  <c r="BP46" i="4" s="1"/>
  <c r="BQ46" i="4" s="1"/>
  <c r="BR46" i="4" s="1"/>
  <c r="BS46" i="4" s="1"/>
  <c r="BT46" i="4" s="1"/>
  <c r="BU46" i="4" s="1"/>
  <c r="BV46" i="4" s="1"/>
  <c r="BW46" i="4" s="1"/>
  <c r="BX46" i="4" s="1"/>
  <c r="BY46" i="4" s="1"/>
  <c r="BZ46" i="4" s="1"/>
  <c r="CA46" i="4" s="1"/>
  <c r="CB46" i="4" s="1"/>
  <c r="CC46" i="4" s="1"/>
  <c r="CD46" i="4" s="1"/>
  <c r="CE46" i="4" s="1"/>
  <c r="CF46" i="4" s="1"/>
  <c r="CG46" i="4" s="1"/>
  <c r="CH46" i="4" s="1"/>
  <c r="CI46" i="4" s="1"/>
  <c r="CJ46" i="4" s="1"/>
  <c r="CK46" i="4" s="1"/>
  <c r="CL46" i="4" s="1"/>
  <c r="CM46" i="4" s="1"/>
  <c r="CN46" i="4" s="1"/>
  <c r="CO46" i="4" s="1"/>
  <c r="CP46" i="4" s="1"/>
  <c r="CQ46" i="4" s="1"/>
  <c r="CR46" i="4" s="1"/>
  <c r="CS46" i="4" s="1"/>
  <c r="CT46" i="4" s="1"/>
  <c r="CU46" i="4" s="1"/>
  <c r="CV46" i="4" s="1"/>
  <c r="CW46" i="4" s="1"/>
  <c r="CX46" i="4" s="1"/>
  <c r="CY46" i="4" s="1"/>
  <c r="CZ46" i="4" s="1"/>
  <c r="DA46" i="4" s="1"/>
  <c r="DB46" i="4" s="1"/>
  <c r="DC46" i="4" s="1"/>
  <c r="DD46" i="4" s="1"/>
  <c r="DE46" i="4" s="1"/>
  <c r="DF46" i="4" s="1"/>
  <c r="DG46" i="4" s="1"/>
  <c r="DH46" i="4" s="1"/>
  <c r="DI46" i="4" s="1"/>
  <c r="DJ46" i="4" s="1"/>
  <c r="DK46" i="4" s="1"/>
  <c r="DL46" i="4" s="1"/>
  <c r="DM46" i="4" s="1"/>
  <c r="DN46" i="4" s="1"/>
  <c r="DO46" i="4" s="1"/>
  <c r="DP46" i="4" s="1"/>
  <c r="DQ46" i="4" s="1"/>
  <c r="DR46" i="4" s="1"/>
  <c r="DS46" i="4" s="1"/>
  <c r="DT46" i="4" s="1"/>
  <c r="DU46" i="4" s="1"/>
  <c r="DV46" i="4" s="1"/>
  <c r="DW46" i="4" s="1"/>
  <c r="DX46" i="4" s="1"/>
  <c r="DY46" i="4" s="1"/>
  <c r="DZ46" i="4" s="1"/>
  <c r="EA46" i="4" s="1"/>
  <c r="EB46" i="4" s="1"/>
  <c r="EC46" i="4" s="1"/>
  <c r="ED46" i="4" s="1"/>
  <c r="EE46" i="4" s="1"/>
  <c r="EF46" i="4" s="1"/>
  <c r="EG46" i="4" s="1"/>
  <c r="F45" i="4" l="1"/>
</calcChain>
</file>

<file path=xl/comments1.xml><?xml version="1.0" encoding="utf-8"?>
<comments xmlns="http://schemas.openxmlformats.org/spreadsheetml/2006/main">
  <authors>
    <author>tom</author>
  </authors>
  <commentList>
    <comment ref="L90" authorId="0">
      <text>
        <r>
          <rPr>
            <b/>
            <sz val="9"/>
            <color indexed="81"/>
            <rFont val="Tahoma"/>
            <family val="2"/>
          </rPr>
          <t>tom:</t>
        </r>
        <r>
          <rPr>
            <sz val="9"/>
            <color indexed="81"/>
            <rFont val="Tahoma"/>
            <family val="2"/>
          </rPr>
          <t xml:space="preserve">
ist bereits befüllt</t>
        </r>
      </text>
    </comment>
  </commentList>
</comments>
</file>

<file path=xl/sharedStrings.xml><?xml version="1.0" encoding="utf-8"?>
<sst xmlns="http://schemas.openxmlformats.org/spreadsheetml/2006/main" count="313" uniqueCount="181">
  <si>
    <t xml:space="preserve">Customization - Einstellung der Parameter </t>
  </si>
  <si>
    <t xml:space="preserve"> </t>
  </si>
  <si>
    <t>Neu-Entwicklung</t>
  </si>
  <si>
    <t>Variante</t>
  </si>
  <si>
    <t>Überarbeitung</t>
  </si>
  <si>
    <t>Phase I</t>
  </si>
  <si>
    <t>Phase II</t>
  </si>
  <si>
    <t>Phase III</t>
  </si>
  <si>
    <t>Phase IV</t>
  </si>
  <si>
    <t>Rollen-Name</t>
  </si>
  <si>
    <t>Tagessatz extern</t>
  </si>
  <si>
    <t>Projektleiter</t>
  </si>
  <si>
    <t>PMO-Office</t>
  </si>
  <si>
    <t>Designer</t>
  </si>
  <si>
    <t>Ton-Modelleure</t>
  </si>
  <si>
    <t>CAD-Konstrukteure</t>
  </si>
  <si>
    <t>Kosten-Arten</t>
  </si>
  <si>
    <t>IT-Kosten</t>
  </si>
  <si>
    <t>Material-Kosten</t>
  </si>
  <si>
    <t>Reise-Kosten</t>
  </si>
  <si>
    <t xml:space="preserve">neue Kostenarten bitte vor dieser Zeile einfügen </t>
  </si>
  <si>
    <t>Max_Dauer_eines_Projektes</t>
  </si>
  <si>
    <t>Linker Rand Time Zone</t>
  </si>
  <si>
    <t xml:space="preserve">Rechter Rand Time Zone </t>
  </si>
  <si>
    <t>Show Time Zone Color</t>
  </si>
  <si>
    <t>NoShow Time Zone Color</t>
  </si>
  <si>
    <t>Arbeitstage pro Monat</t>
  </si>
  <si>
    <t>Farbe für intern, ohne Projekte</t>
  </si>
  <si>
    <t>Farbe für externe Ressourcen</t>
  </si>
  <si>
    <t>Farbe für Projekte ohne Vorlage</t>
  </si>
  <si>
    <t>Farbe für Eingabe Ress Kosten</t>
  </si>
  <si>
    <t>Monate</t>
  </si>
  <si>
    <t>Skizzen</t>
  </si>
  <si>
    <t>Formfindung</t>
  </si>
  <si>
    <t>Präsentations-Modelle</t>
  </si>
  <si>
    <t>3D-Modellierung</t>
  </si>
  <si>
    <t>Name</t>
  </si>
  <si>
    <t>Projekt-Vorlage</t>
  </si>
  <si>
    <t>Start</t>
  </si>
  <si>
    <t>Dauer</t>
  </si>
  <si>
    <t>Marge</t>
  </si>
  <si>
    <t>Strategischer Fit</t>
  </si>
  <si>
    <t>Risiko</t>
  </si>
  <si>
    <t>Status</t>
  </si>
  <si>
    <t>Neu-Entwicklung 1</t>
  </si>
  <si>
    <t>beauftragt</t>
  </si>
  <si>
    <t>Neu-Entwicklung 3</t>
  </si>
  <si>
    <t>Neu-Entwicklung 4</t>
  </si>
  <si>
    <t>geplant</t>
  </si>
  <si>
    <t>Variante 1-1</t>
  </si>
  <si>
    <t>Variante 2-1</t>
  </si>
  <si>
    <t>Variante 2-2</t>
  </si>
  <si>
    <t>Variante 3-1</t>
  </si>
  <si>
    <t>Variante 2-3</t>
  </si>
  <si>
    <t>Überarbeitung 2</t>
  </si>
  <si>
    <t>Überarbeitung 3</t>
  </si>
  <si>
    <t>Überarbeitung 7</t>
  </si>
  <si>
    <t>Überarbeitung 9</t>
  </si>
  <si>
    <t>Neu-Entwicklung 2</t>
  </si>
  <si>
    <t>Überarbeitung 11</t>
  </si>
  <si>
    <t>#</t>
  </si>
  <si>
    <t>Überarbeitung 12</t>
  </si>
  <si>
    <t>Überarbeitung 16</t>
  </si>
  <si>
    <t>Variante 4-1</t>
  </si>
  <si>
    <t>Variante 4-2</t>
  </si>
  <si>
    <t>Neu-Entwicklung 6</t>
  </si>
  <si>
    <t>Überarbeitung 15</t>
  </si>
  <si>
    <t>Variante 2-5</t>
  </si>
  <si>
    <t>Überarbeitung 1</t>
  </si>
  <si>
    <t>Überarbeitung 10</t>
  </si>
  <si>
    <t>Überarbeitung 13</t>
  </si>
  <si>
    <t>Überarbeitung 14</t>
  </si>
  <si>
    <t>Überarbeitung 4</t>
  </si>
  <si>
    <t>Überarbeitung 5</t>
  </si>
  <si>
    <t>Überarbeitung 8</t>
  </si>
  <si>
    <t>Variante 1-2</t>
  </si>
  <si>
    <t>Variante 1-3</t>
  </si>
  <si>
    <t>Vergleichsfarbe1 (Beide)</t>
  </si>
  <si>
    <t>Vergleichsfarbe2 (Aktueller Stand)</t>
  </si>
  <si>
    <t>Vergleichsfarbe3 (Beauftragung/vorheriger Stand)</t>
  </si>
  <si>
    <t xml:space="preserve">Ergebnisfarbe Earned Value - ungewichtet </t>
  </si>
  <si>
    <t xml:space="preserve">Ergebnisfarbe Earned Value - gewichtet </t>
  </si>
  <si>
    <t xml:space="preserve">(Ausgleichs-)Gewicht des strategischen Fits </t>
  </si>
  <si>
    <t>Start Kalender</t>
  </si>
  <si>
    <t>Zeiteinheit</t>
  </si>
  <si>
    <t xml:space="preserve">Datenbank </t>
  </si>
  <si>
    <t>projectboard</t>
  </si>
  <si>
    <t xml:space="preserve">neue Rollen bitte vor dieser Zeile einfügen </t>
  </si>
  <si>
    <t xml:space="preserve">neue Phasen bitte vor dieser Zeile einfügen </t>
  </si>
  <si>
    <t>Zeilenhoehe1</t>
  </si>
  <si>
    <t>Zeilenhoehe2</t>
  </si>
  <si>
    <t>Spaltenbreite</t>
  </si>
  <si>
    <t>PM</t>
  </si>
  <si>
    <t>Soll-Ist Farbe Beauftragung</t>
  </si>
  <si>
    <t>Soll-Ist Farbe letzte Freigabe</t>
  </si>
  <si>
    <t>Soll-Ist Farbe Aktuell</t>
  </si>
  <si>
    <t>Ampel-Farbe Gelb</t>
  </si>
  <si>
    <t>Ampel-Farbe Rot</t>
  </si>
  <si>
    <t>Ampel-Farbe Nicht bewertet</t>
  </si>
  <si>
    <t>Ampel-Farbe Grün</t>
  </si>
  <si>
    <t>Farbe zur Kennzeichnung "importiert"</t>
  </si>
  <si>
    <t>testboard</t>
  </si>
  <si>
    <t>Fertigung1</t>
  </si>
  <si>
    <t>demofzg2</t>
  </si>
  <si>
    <t>demofzgB</t>
  </si>
  <si>
    <t>Einzel Ressourcen Export</t>
  </si>
  <si>
    <t>Kapazitätseinheit</t>
  </si>
  <si>
    <t>demoPT1</t>
  </si>
  <si>
    <t>demoPTH</t>
  </si>
  <si>
    <t>ITProjekte</t>
  </si>
  <si>
    <t>Projekt-Typen</t>
  </si>
  <si>
    <t>ITProjekte1</t>
  </si>
  <si>
    <t>Phasen</t>
  </si>
  <si>
    <t>Erstanläufer</t>
  </si>
  <si>
    <t>Weite Ableitung</t>
  </si>
  <si>
    <t>Enge Ableitung</t>
  </si>
  <si>
    <t>DTK</t>
  </si>
  <si>
    <t>TK</t>
  </si>
  <si>
    <t>SWZ</t>
  </si>
  <si>
    <t>PPA</t>
  </si>
  <si>
    <t>Telair</t>
  </si>
  <si>
    <t>VBBG</t>
  </si>
  <si>
    <t>BBG Karosseriebau FIZ</t>
  </si>
  <si>
    <t>BBG Montage FIZ</t>
  </si>
  <si>
    <t>F2 Vorserie 0</t>
  </si>
  <si>
    <t>F2 Vorserie 1</t>
  </si>
  <si>
    <t>F2 Vorserie 2</t>
  </si>
  <si>
    <t>F2 Anlaufproduktion</t>
  </si>
  <si>
    <t>Wintererprobung mit BBG</t>
  </si>
  <si>
    <t>Schwellwert / Monat</t>
  </si>
  <si>
    <t>Wintererprobung mit PVL</t>
  </si>
  <si>
    <t>Tagessatz Intern</t>
  </si>
  <si>
    <t>Entwickler</t>
  </si>
  <si>
    <t>Fertigungsplaner</t>
  </si>
  <si>
    <t>Tester</t>
  </si>
  <si>
    <t>Schwellwert</t>
  </si>
  <si>
    <t>Simulation VBBG</t>
  </si>
  <si>
    <t>OffsetEinheit</t>
  </si>
  <si>
    <t>d</t>
  </si>
  <si>
    <t>Angabe Abstandseinheit für Meilensteine (d= days, w=weeks)</t>
  </si>
  <si>
    <t>LeLe</t>
  </si>
  <si>
    <t>Special Phases</t>
  </si>
  <si>
    <t>Positiv-Liste</t>
  </si>
  <si>
    <t>SOP</t>
  </si>
  <si>
    <t>Design-Skizzenauswahl</t>
  </si>
  <si>
    <t>Abschluss Datenbereitstellung VBBG</t>
  </si>
  <si>
    <t>WE (Karosseriebau PVL)</t>
  </si>
  <si>
    <t>BBG / letztes Fzg.</t>
  </si>
  <si>
    <t>Freigabe für Formfräsen (Paket Wzg.-Langläufer)</t>
  </si>
  <si>
    <t>kritischer Prozess</t>
  </si>
  <si>
    <t>BBG: Montage FIZ</t>
  </si>
  <si>
    <t>Vorserie 0</t>
  </si>
  <si>
    <t>Vorserie 1</t>
  </si>
  <si>
    <t>Vorserie 2</t>
  </si>
  <si>
    <t>Anlaufproduktion</t>
  </si>
  <si>
    <t>ItO Modular Meilenstein</t>
  </si>
  <si>
    <t>Ende … neue Elemente vor dieser Zeile einfügen</t>
  </si>
  <si>
    <t>Projektphasen</t>
  </si>
  <si>
    <t>Design</t>
  </si>
  <si>
    <t>Bauphasen</t>
  </si>
  <si>
    <t>Montage BBG</t>
  </si>
  <si>
    <t>Montage VS</t>
  </si>
  <si>
    <t>Montage KSP</t>
  </si>
  <si>
    <t>Zusätzlicher Modulträger EA/EF</t>
  </si>
  <si>
    <t>Rückläufer Modulträger</t>
  </si>
  <si>
    <t>Strukturerprober auf Basis BBG F45</t>
  </si>
  <si>
    <t>Montage Modulträger</t>
  </si>
  <si>
    <t>Montage PVL FIZ</t>
  </si>
  <si>
    <t>Montage VS CN</t>
  </si>
  <si>
    <t>Prozessvorläufer VS0</t>
  </si>
  <si>
    <t>KSP 1</t>
  </si>
  <si>
    <t>KSP 2</t>
  </si>
  <si>
    <t>KSP 3</t>
  </si>
  <si>
    <t>Montage BBG Pulk 1</t>
  </si>
  <si>
    <t>Montage BBG Pulk 2</t>
  </si>
  <si>
    <t>ito3</t>
  </si>
  <si>
    <t>Halb echte B-Projekte</t>
  </si>
  <si>
    <t>ito4</t>
  </si>
  <si>
    <t>echte b-projekte</t>
  </si>
  <si>
    <t>Montage F23</t>
  </si>
  <si>
    <t>Ito3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</si>
</sst>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 tint="0.14999847407452621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0"/>
      <name val="Calibri"/>
      <family val="2"/>
      <scheme val="minor"/>
    </font>
    <font>
      <sz val="12"/>
      <color theme="1" tint="0.1499984740745262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E26B0A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5" fillId="0" borderId="0" xfId="0" applyFont="1"/>
    <xf numFmtId="0" fontId="0" fillId="2" borderId="0" xfId="0" applyFill="1"/>
    <xf numFmtId="0" fontId="2" fillId="3" borderId="0" xfId="0" applyFont="1" applyFill="1"/>
    <xf numFmtId="0" fontId="2" fillId="2" borderId="0" xfId="0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5" borderId="0" xfId="0" applyFill="1"/>
    <xf numFmtId="0" fontId="0" fillId="12" borderId="0" xfId="0" applyFill="1"/>
    <xf numFmtId="0" fontId="1" fillId="0" borderId="0" xfId="0" applyFont="1"/>
    <xf numFmtId="0" fontId="4" fillId="0" borderId="0" xfId="0" applyFont="1"/>
    <xf numFmtId="0" fontId="6" fillId="0" borderId="0" xfId="0" applyFont="1"/>
    <xf numFmtId="14" fontId="0" fillId="0" borderId="0" xfId="0" applyNumberFormat="1"/>
    <xf numFmtId="0" fontId="0" fillId="6" borderId="0" xfId="0" applyFill="1"/>
    <xf numFmtId="0" fontId="0" fillId="13" borderId="0" xfId="0" applyFill="1"/>
    <xf numFmtId="0" fontId="0" fillId="14" borderId="0" xfId="0" applyFill="1"/>
    <xf numFmtId="0" fontId="0" fillId="0" borderId="0" xfId="0" applyAlignment="1">
      <alignment horizontal="right"/>
    </xf>
    <xf numFmtId="2" fontId="0" fillId="0" borderId="0" xfId="0" applyNumberFormat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17" fontId="0" fillId="0" borderId="0" xfId="0" applyNumberFormat="1"/>
    <xf numFmtId="0" fontId="8" fillId="0" borderId="0" xfId="0" applyFont="1"/>
    <xf numFmtId="0" fontId="0" fillId="0" borderId="0" xfId="0" applyNumberFormat="1"/>
    <xf numFmtId="0" fontId="0" fillId="0" borderId="0" xfId="0" applyAlignment="1">
      <alignment horizontal="center"/>
    </xf>
    <xf numFmtId="0" fontId="0" fillId="20" borderId="0" xfId="0" applyFill="1"/>
    <xf numFmtId="0" fontId="0" fillId="21" borderId="0" xfId="0" applyFill="1"/>
    <xf numFmtId="0" fontId="0" fillId="19" borderId="0" xfId="0" applyFill="1"/>
    <xf numFmtId="0" fontId="2" fillId="6" borderId="0" xfId="0" applyFont="1" applyFill="1"/>
    <xf numFmtId="0" fontId="7" fillId="7" borderId="0" xfId="0" applyFont="1" applyFill="1"/>
    <xf numFmtId="0" fontId="0" fillId="22" borderId="0" xfId="0" applyFill="1"/>
    <xf numFmtId="0" fontId="0" fillId="23" borderId="0" xfId="0" applyFill="1"/>
    <xf numFmtId="0" fontId="11" fillId="24" borderId="0" xfId="0" applyFont="1" applyFill="1"/>
    <xf numFmtId="0" fontId="11" fillId="25" borderId="0" xfId="0" applyFont="1" applyFill="1"/>
    <xf numFmtId="0" fontId="12" fillId="26" borderId="0" xfId="0" applyFont="1" applyFill="1"/>
    <xf numFmtId="0" fontId="0" fillId="27" borderId="0" xfId="0" applyFill="1"/>
    <xf numFmtId="0" fontId="0" fillId="28" borderId="0" xfId="0" applyFill="1"/>
    <xf numFmtId="0" fontId="0" fillId="29" borderId="0" xfId="0" applyFill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D243"/>
      <color rgb="FF007E39"/>
      <color rgb="FF33CC33"/>
      <color rgb="FF6CBCB4"/>
      <color rgb="FFF2B800"/>
      <color rgb="FF85363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om/AppData/Local/Temp/wz1dff/ExcelWorkbook3/ExcelWorkbook3/bin/Debug/Projekt-Tafel%20-%20Beispiel%20einfa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orlage"/>
      <sheetName val="Projekt Tafel"/>
      <sheetName val="Projektdefinition Ressourcen"/>
      <sheetName val="Projektdefinition Kosten"/>
      <sheetName val="Rules"/>
      <sheetName val="Rule Consistency"/>
      <sheetName val="Rule Application"/>
      <sheetName val="Einstellungen"/>
      <sheetName val="Portfolio Vorlage"/>
      <sheetName val="Portfolio"/>
      <sheetName val="Objekte"/>
      <sheetName val="Projekt editieren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abelle1"/>
  <dimension ref="A1:EI114"/>
  <sheetViews>
    <sheetView tabSelected="1" defaultGridColor="0" colorId="22" zoomScaleNormal="100" workbookViewId="0">
      <pane ySplit="1" topLeftCell="A80" activePane="bottomLeft" state="frozenSplit"/>
      <selection pane="bottomLeft" activeCell="B91" sqref="B91"/>
    </sheetView>
  </sheetViews>
  <sheetFormatPr baseColWidth="10" defaultRowHeight="15" x14ac:dyDescent="0.25"/>
  <cols>
    <col min="1" max="1" width="47.7109375" customWidth="1"/>
    <col min="2" max="2" width="33.85546875" customWidth="1"/>
    <col min="3" max="3" width="30.140625" customWidth="1"/>
    <col min="4" max="4" width="31.140625" customWidth="1"/>
    <col min="5" max="5" width="26.7109375" customWidth="1"/>
  </cols>
  <sheetData>
    <row r="1" spans="1:4" ht="21" x14ac:dyDescent="0.35">
      <c r="A1" s="28" t="s">
        <v>0</v>
      </c>
    </row>
    <row r="2" spans="1:4" x14ac:dyDescent="0.25">
      <c r="C2" t="s">
        <v>135</v>
      </c>
      <c r="D2" t="s">
        <v>141</v>
      </c>
    </row>
    <row r="3" spans="1:4" ht="15.75" x14ac:dyDescent="0.25">
      <c r="A3" t="s">
        <v>110</v>
      </c>
      <c r="B3" s="38" t="s">
        <v>113</v>
      </c>
    </row>
    <row r="4" spans="1:4" ht="15.75" x14ac:dyDescent="0.25">
      <c r="B4" s="39" t="s">
        <v>114</v>
      </c>
    </row>
    <row r="5" spans="1:4" ht="15.75" x14ac:dyDescent="0.25">
      <c r="A5" s="36"/>
      <c r="B5" s="40" t="s">
        <v>115</v>
      </c>
    </row>
    <row r="6" spans="1:4" x14ac:dyDescent="0.25">
      <c r="A6" t="s">
        <v>1</v>
      </c>
    </row>
    <row r="7" spans="1:4" x14ac:dyDescent="0.25">
      <c r="A7" t="s">
        <v>112</v>
      </c>
    </row>
    <row r="8" spans="1:4" x14ac:dyDescent="0.25">
      <c r="B8" s="35" t="s">
        <v>116</v>
      </c>
      <c r="D8" s="30" t="s">
        <v>140</v>
      </c>
    </row>
    <row r="9" spans="1:4" x14ac:dyDescent="0.25">
      <c r="B9" s="36" t="s">
        <v>117</v>
      </c>
      <c r="D9" s="30" t="s">
        <v>140</v>
      </c>
    </row>
    <row r="10" spans="1:4" x14ac:dyDescent="0.25">
      <c r="B10" s="37" t="s">
        <v>118</v>
      </c>
      <c r="D10" s="30" t="s">
        <v>140</v>
      </c>
    </row>
    <row r="11" spans="1:4" x14ac:dyDescent="0.25">
      <c r="B11" s="26" t="s">
        <v>119</v>
      </c>
      <c r="D11" s="30" t="s">
        <v>140</v>
      </c>
    </row>
    <row r="12" spans="1:4" x14ac:dyDescent="0.25">
      <c r="B12" s="35" t="s">
        <v>136</v>
      </c>
      <c r="C12">
        <v>8</v>
      </c>
    </row>
    <row r="13" spans="1:4" x14ac:dyDescent="0.25">
      <c r="B13" s="35" t="s">
        <v>121</v>
      </c>
    </row>
    <row r="14" spans="1:4" x14ac:dyDescent="0.25">
      <c r="B14" s="36" t="s">
        <v>122</v>
      </c>
    </row>
    <row r="15" spans="1:4" x14ac:dyDescent="0.25">
      <c r="B15" s="36" t="s">
        <v>123</v>
      </c>
      <c r="C15">
        <v>12</v>
      </c>
    </row>
    <row r="16" spans="1:4" x14ac:dyDescent="0.25">
      <c r="B16" s="36" t="s">
        <v>124</v>
      </c>
    </row>
    <row r="17" spans="2:3" x14ac:dyDescent="0.25">
      <c r="B17" s="36" t="s">
        <v>125</v>
      </c>
    </row>
    <row r="18" spans="2:3" x14ac:dyDescent="0.25">
      <c r="B18" s="36" t="s">
        <v>126</v>
      </c>
    </row>
    <row r="19" spans="2:3" x14ac:dyDescent="0.25">
      <c r="B19" s="36" t="s">
        <v>127</v>
      </c>
      <c r="C19">
        <v>12</v>
      </c>
    </row>
    <row r="20" spans="2:3" x14ac:dyDescent="0.25">
      <c r="B20" s="36" t="s">
        <v>128</v>
      </c>
    </row>
    <row r="21" spans="2:3" x14ac:dyDescent="0.25">
      <c r="B21" s="36" t="s">
        <v>130</v>
      </c>
    </row>
    <row r="22" spans="2:3" x14ac:dyDescent="0.25">
      <c r="B22" s="41" t="s">
        <v>157</v>
      </c>
    </row>
    <row r="23" spans="2:3" x14ac:dyDescent="0.25">
      <c r="B23" s="42" t="s">
        <v>158</v>
      </c>
    </row>
    <row r="24" spans="2:3" x14ac:dyDescent="0.25">
      <c r="B24" s="26" t="s">
        <v>159</v>
      </c>
    </row>
    <row r="25" spans="2:3" x14ac:dyDescent="0.25">
      <c r="B25" s="37" t="s">
        <v>160</v>
      </c>
    </row>
    <row r="26" spans="2:3" x14ac:dyDescent="0.25">
      <c r="B26" s="37" t="s">
        <v>161</v>
      </c>
    </row>
    <row r="27" spans="2:3" x14ac:dyDescent="0.25">
      <c r="B27" s="37" t="s">
        <v>162</v>
      </c>
    </row>
    <row r="28" spans="2:3" x14ac:dyDescent="0.25">
      <c r="B28" s="37" t="s">
        <v>163</v>
      </c>
    </row>
    <row r="29" spans="2:3" x14ac:dyDescent="0.25">
      <c r="B29" s="37" t="s">
        <v>164</v>
      </c>
    </row>
    <row r="30" spans="2:3" x14ac:dyDescent="0.25">
      <c r="B30" s="37" t="s">
        <v>165</v>
      </c>
    </row>
    <row r="31" spans="2:3" x14ac:dyDescent="0.25">
      <c r="B31" s="37" t="s">
        <v>166</v>
      </c>
    </row>
    <row r="32" spans="2:3" x14ac:dyDescent="0.25">
      <c r="B32" s="37" t="s">
        <v>167</v>
      </c>
    </row>
    <row r="33" spans="1:139" x14ac:dyDescent="0.25">
      <c r="B33" s="37" t="s">
        <v>168</v>
      </c>
    </row>
    <row r="34" spans="1:139" x14ac:dyDescent="0.25">
      <c r="B34" s="37" t="s">
        <v>169</v>
      </c>
    </row>
    <row r="35" spans="1:139" x14ac:dyDescent="0.25">
      <c r="B35" s="37" t="s">
        <v>170</v>
      </c>
    </row>
    <row r="36" spans="1:139" x14ac:dyDescent="0.25">
      <c r="B36" s="37" t="s">
        <v>171</v>
      </c>
    </row>
    <row r="37" spans="1:139" x14ac:dyDescent="0.25">
      <c r="B37" s="37" t="s">
        <v>172</v>
      </c>
    </row>
    <row r="38" spans="1:139" x14ac:dyDescent="0.25">
      <c r="B38" s="37" t="s">
        <v>173</v>
      </c>
    </row>
    <row r="39" spans="1:139" x14ac:dyDescent="0.25">
      <c r="B39" s="37" t="s">
        <v>174</v>
      </c>
    </row>
    <row r="40" spans="1:139" x14ac:dyDescent="0.25">
      <c r="B40" s="31" t="s">
        <v>143</v>
      </c>
    </row>
    <row r="41" spans="1:139" x14ac:dyDescent="0.25">
      <c r="B41" s="43" t="s">
        <v>179</v>
      </c>
    </row>
    <row r="42" spans="1:139" x14ac:dyDescent="0.25">
      <c r="A42" s="4" t="s">
        <v>88</v>
      </c>
    </row>
    <row r="44" spans="1:139" x14ac:dyDescent="0.25">
      <c r="A44" t="s">
        <v>1</v>
      </c>
    </row>
    <row r="45" spans="1:139" x14ac:dyDescent="0.25">
      <c r="A45" t="s">
        <v>9</v>
      </c>
      <c r="C45" s="30" t="s">
        <v>129</v>
      </c>
      <c r="D45" s="30" t="s">
        <v>131</v>
      </c>
      <c r="E45" s="30" t="s">
        <v>10</v>
      </c>
      <c r="F45" s="27">
        <f>Start_Kalender</f>
        <v>39814</v>
      </c>
      <c r="G45" s="27">
        <v>41183</v>
      </c>
      <c r="H45" s="27">
        <v>41214</v>
      </c>
      <c r="I45" s="27">
        <v>41244</v>
      </c>
      <c r="J45" s="27">
        <v>41275</v>
      </c>
      <c r="K45" s="27">
        <v>41306</v>
      </c>
      <c r="L45" s="27">
        <v>41334</v>
      </c>
      <c r="M45" s="27">
        <v>41365</v>
      </c>
      <c r="N45" s="27">
        <v>41395</v>
      </c>
      <c r="O45" s="27">
        <v>41426</v>
      </c>
      <c r="P45" s="27">
        <v>41456</v>
      </c>
      <c r="Q45" s="27">
        <v>41487</v>
      </c>
      <c r="R45" s="27">
        <v>41518</v>
      </c>
      <c r="S45" s="27">
        <v>41548</v>
      </c>
      <c r="T45" s="27">
        <v>41579</v>
      </c>
      <c r="U45" s="27">
        <v>41609</v>
      </c>
      <c r="V45" s="27">
        <v>41640</v>
      </c>
      <c r="W45" s="27">
        <v>41671</v>
      </c>
      <c r="X45" s="27">
        <v>41699</v>
      </c>
      <c r="Y45" s="27">
        <v>41730</v>
      </c>
      <c r="Z45" s="27">
        <v>41760</v>
      </c>
      <c r="AA45" s="27">
        <v>41791</v>
      </c>
      <c r="AB45" s="27">
        <v>41821</v>
      </c>
      <c r="AC45" s="27">
        <v>41852</v>
      </c>
      <c r="AD45" s="27">
        <v>41883</v>
      </c>
      <c r="AE45" s="27">
        <v>41913</v>
      </c>
      <c r="AF45" s="27">
        <v>41944</v>
      </c>
      <c r="AG45" s="27">
        <v>41974</v>
      </c>
      <c r="AH45" s="27">
        <v>42005</v>
      </c>
      <c r="AI45" s="27">
        <v>42036</v>
      </c>
      <c r="AJ45" s="27">
        <v>42064</v>
      </c>
      <c r="AK45" s="27">
        <v>42095</v>
      </c>
      <c r="AL45" s="27">
        <v>42125</v>
      </c>
      <c r="AM45" s="27">
        <v>42156</v>
      </c>
      <c r="AN45" s="27">
        <v>42186</v>
      </c>
      <c r="AO45" s="27">
        <v>42217</v>
      </c>
      <c r="AP45" s="27">
        <v>42248</v>
      </c>
      <c r="AQ45" s="27">
        <v>42278</v>
      </c>
      <c r="AR45" s="27">
        <v>42309</v>
      </c>
      <c r="AS45" s="27">
        <v>42339</v>
      </c>
      <c r="AT45" s="27">
        <v>42370</v>
      </c>
      <c r="AU45" s="27">
        <v>42401</v>
      </c>
      <c r="AV45" s="27">
        <v>42430</v>
      </c>
      <c r="AW45" s="27">
        <v>42461</v>
      </c>
      <c r="AX45" s="27">
        <v>42491</v>
      </c>
      <c r="AY45" s="27">
        <v>42522</v>
      </c>
      <c r="AZ45" s="27">
        <v>42552</v>
      </c>
      <c r="BA45" s="27">
        <v>42583</v>
      </c>
      <c r="BB45" s="27">
        <v>42614</v>
      </c>
      <c r="BC45" s="27">
        <v>42644</v>
      </c>
      <c r="BD45" s="27">
        <v>42675</v>
      </c>
      <c r="BE45" s="27">
        <v>42705</v>
      </c>
      <c r="BF45" s="27">
        <v>42736</v>
      </c>
      <c r="BG45" s="27">
        <v>42767</v>
      </c>
      <c r="BH45" s="27">
        <v>42795</v>
      </c>
      <c r="BI45" s="27">
        <v>42826</v>
      </c>
      <c r="BJ45" s="27">
        <v>42856</v>
      </c>
      <c r="BK45" s="27">
        <v>42887</v>
      </c>
      <c r="BL45" s="27">
        <v>42917</v>
      </c>
      <c r="BM45" s="27">
        <v>42948</v>
      </c>
      <c r="BN45" s="27">
        <v>42979</v>
      </c>
      <c r="BO45" s="27">
        <v>43009</v>
      </c>
      <c r="BP45" s="27">
        <v>43040</v>
      </c>
      <c r="BQ45" s="27">
        <v>43070</v>
      </c>
      <c r="BR45" s="27">
        <v>43101</v>
      </c>
      <c r="BS45" s="27">
        <v>43132</v>
      </c>
      <c r="BT45" s="27">
        <v>43160</v>
      </c>
      <c r="BU45" s="27">
        <v>43191</v>
      </c>
      <c r="BV45" s="27">
        <v>43221</v>
      </c>
      <c r="BW45" s="27">
        <v>43252</v>
      </c>
      <c r="BX45" s="27">
        <v>43282</v>
      </c>
      <c r="BY45" s="27">
        <v>43313</v>
      </c>
      <c r="BZ45" s="27">
        <v>43344</v>
      </c>
      <c r="CA45" s="27">
        <v>43374</v>
      </c>
      <c r="CB45" s="27">
        <v>43405</v>
      </c>
      <c r="CC45" s="27">
        <v>43435</v>
      </c>
      <c r="CD45" s="27">
        <v>43466</v>
      </c>
      <c r="CE45" s="27">
        <v>43497</v>
      </c>
      <c r="CF45" s="27">
        <v>43525</v>
      </c>
      <c r="CG45" s="27">
        <v>43556</v>
      </c>
      <c r="CH45" s="27">
        <v>43586</v>
      </c>
      <c r="CI45" s="27">
        <v>43617</v>
      </c>
      <c r="CJ45" s="27">
        <v>43647</v>
      </c>
      <c r="CK45" s="27">
        <v>43678</v>
      </c>
      <c r="CL45" s="27">
        <v>43709</v>
      </c>
      <c r="CM45" s="27">
        <v>43739</v>
      </c>
      <c r="CN45" s="27">
        <v>43770</v>
      </c>
      <c r="CO45" s="27">
        <v>43800</v>
      </c>
      <c r="CP45" s="27">
        <v>43831</v>
      </c>
      <c r="CQ45" s="27">
        <v>43862</v>
      </c>
      <c r="CR45" s="27">
        <v>43891</v>
      </c>
      <c r="CS45" s="27">
        <v>43922</v>
      </c>
      <c r="CT45" s="27">
        <v>43952</v>
      </c>
      <c r="CU45" s="27">
        <v>43983</v>
      </c>
      <c r="CV45" s="27">
        <v>44013</v>
      </c>
      <c r="CW45" s="27">
        <v>44044</v>
      </c>
      <c r="CX45" s="27">
        <v>44075</v>
      </c>
      <c r="CY45" s="27">
        <v>44105</v>
      </c>
      <c r="CZ45" s="27">
        <v>44136</v>
      </c>
      <c r="DA45" s="27">
        <v>44166</v>
      </c>
      <c r="DB45" s="27">
        <v>44197</v>
      </c>
      <c r="DC45" s="27">
        <v>44228</v>
      </c>
      <c r="DD45" s="27">
        <v>44256</v>
      </c>
      <c r="DE45" s="27">
        <v>44287</v>
      </c>
      <c r="DF45" s="27">
        <v>44317</v>
      </c>
      <c r="DG45" s="27">
        <v>44348</v>
      </c>
      <c r="DH45" s="27">
        <v>44378</v>
      </c>
      <c r="DI45" s="27">
        <v>44409</v>
      </c>
      <c r="DJ45" s="27">
        <v>44440</v>
      </c>
      <c r="DK45" s="27">
        <v>44470</v>
      </c>
      <c r="DL45" s="27">
        <v>44501</v>
      </c>
      <c r="DM45" s="27">
        <v>44531</v>
      </c>
      <c r="DN45" s="27">
        <v>44562</v>
      </c>
      <c r="DO45" s="27">
        <v>44593</v>
      </c>
      <c r="DP45" s="27">
        <v>44621</v>
      </c>
      <c r="DQ45" s="27">
        <v>44652</v>
      </c>
      <c r="DR45" s="27">
        <v>44682</v>
      </c>
      <c r="DS45" s="27">
        <v>44713</v>
      </c>
      <c r="DT45" s="27">
        <v>44743</v>
      </c>
      <c r="DU45" s="27">
        <v>44774</v>
      </c>
      <c r="DV45" s="27">
        <v>44805</v>
      </c>
      <c r="DW45" s="27">
        <v>44835</v>
      </c>
      <c r="DX45" s="27">
        <v>44866</v>
      </c>
      <c r="DY45" s="27">
        <v>44896</v>
      </c>
      <c r="DZ45" s="27">
        <v>44927</v>
      </c>
      <c r="EA45" s="27">
        <v>44958</v>
      </c>
      <c r="EB45" s="27">
        <v>44986</v>
      </c>
      <c r="EC45" s="27">
        <v>45017</v>
      </c>
      <c r="ED45" s="27">
        <v>45047</v>
      </c>
      <c r="EE45" s="27">
        <v>45078</v>
      </c>
      <c r="EF45" s="27">
        <v>45108</v>
      </c>
      <c r="EG45" s="27">
        <v>45139</v>
      </c>
      <c r="EH45" s="27"/>
      <c r="EI45" s="27"/>
    </row>
    <row r="46" spans="1:139" x14ac:dyDescent="0.25">
      <c r="B46" s="35" t="s">
        <v>13</v>
      </c>
      <c r="C46" s="6">
        <v>10</v>
      </c>
      <c r="D46">
        <v>560</v>
      </c>
      <c r="F46">
        <f>C46</f>
        <v>10</v>
      </c>
      <c r="G46">
        <f>F46</f>
        <v>10</v>
      </c>
      <c r="H46">
        <f t="shared" ref="H46:BS46" si="0">G46</f>
        <v>10</v>
      </c>
      <c r="I46">
        <f t="shared" si="0"/>
        <v>10</v>
      </c>
      <c r="J46">
        <f t="shared" si="0"/>
        <v>10</v>
      </c>
      <c r="K46">
        <f t="shared" si="0"/>
        <v>10</v>
      </c>
      <c r="L46">
        <f t="shared" si="0"/>
        <v>10</v>
      </c>
      <c r="M46">
        <f t="shared" si="0"/>
        <v>10</v>
      </c>
      <c r="N46">
        <f t="shared" si="0"/>
        <v>10</v>
      </c>
      <c r="O46">
        <f t="shared" si="0"/>
        <v>10</v>
      </c>
      <c r="P46">
        <f t="shared" si="0"/>
        <v>10</v>
      </c>
      <c r="Q46">
        <f t="shared" si="0"/>
        <v>10</v>
      </c>
      <c r="R46">
        <f t="shared" si="0"/>
        <v>10</v>
      </c>
      <c r="S46">
        <f t="shared" si="0"/>
        <v>10</v>
      </c>
      <c r="T46">
        <f t="shared" si="0"/>
        <v>10</v>
      </c>
      <c r="U46">
        <f t="shared" si="0"/>
        <v>10</v>
      </c>
      <c r="V46">
        <f t="shared" si="0"/>
        <v>10</v>
      </c>
      <c r="W46">
        <f t="shared" si="0"/>
        <v>10</v>
      </c>
      <c r="X46">
        <f t="shared" si="0"/>
        <v>10</v>
      </c>
      <c r="Y46">
        <f t="shared" si="0"/>
        <v>10</v>
      </c>
      <c r="Z46">
        <f t="shared" si="0"/>
        <v>10</v>
      </c>
      <c r="AA46">
        <f t="shared" si="0"/>
        <v>10</v>
      </c>
      <c r="AB46">
        <f t="shared" si="0"/>
        <v>10</v>
      </c>
      <c r="AC46">
        <f t="shared" si="0"/>
        <v>10</v>
      </c>
      <c r="AD46">
        <f t="shared" si="0"/>
        <v>10</v>
      </c>
      <c r="AE46">
        <f t="shared" si="0"/>
        <v>10</v>
      </c>
      <c r="AF46">
        <f t="shared" si="0"/>
        <v>10</v>
      </c>
      <c r="AG46">
        <f t="shared" si="0"/>
        <v>10</v>
      </c>
      <c r="AH46">
        <f t="shared" si="0"/>
        <v>10</v>
      </c>
      <c r="AI46">
        <f t="shared" si="0"/>
        <v>10</v>
      </c>
      <c r="AJ46">
        <f t="shared" si="0"/>
        <v>10</v>
      </c>
      <c r="AK46">
        <f t="shared" si="0"/>
        <v>10</v>
      </c>
      <c r="AL46">
        <f t="shared" si="0"/>
        <v>10</v>
      </c>
      <c r="AM46">
        <f t="shared" si="0"/>
        <v>10</v>
      </c>
      <c r="AN46">
        <f t="shared" si="0"/>
        <v>10</v>
      </c>
      <c r="AO46">
        <f t="shared" si="0"/>
        <v>10</v>
      </c>
      <c r="AP46">
        <f t="shared" si="0"/>
        <v>10</v>
      </c>
      <c r="AQ46">
        <f t="shared" si="0"/>
        <v>10</v>
      </c>
      <c r="AR46">
        <f t="shared" si="0"/>
        <v>10</v>
      </c>
      <c r="AS46">
        <f t="shared" si="0"/>
        <v>10</v>
      </c>
      <c r="AT46">
        <f t="shared" si="0"/>
        <v>10</v>
      </c>
      <c r="AU46">
        <f t="shared" si="0"/>
        <v>10</v>
      </c>
      <c r="AV46">
        <f t="shared" si="0"/>
        <v>10</v>
      </c>
      <c r="AW46">
        <f t="shared" si="0"/>
        <v>10</v>
      </c>
      <c r="AX46">
        <f t="shared" si="0"/>
        <v>10</v>
      </c>
      <c r="AY46">
        <f t="shared" si="0"/>
        <v>10</v>
      </c>
      <c r="AZ46">
        <f t="shared" si="0"/>
        <v>10</v>
      </c>
      <c r="BA46">
        <f t="shared" si="0"/>
        <v>10</v>
      </c>
      <c r="BB46">
        <f t="shared" si="0"/>
        <v>10</v>
      </c>
      <c r="BC46">
        <f t="shared" si="0"/>
        <v>10</v>
      </c>
      <c r="BD46">
        <f t="shared" si="0"/>
        <v>10</v>
      </c>
      <c r="BE46">
        <f t="shared" si="0"/>
        <v>10</v>
      </c>
      <c r="BF46">
        <f t="shared" si="0"/>
        <v>10</v>
      </c>
      <c r="BG46">
        <f t="shared" si="0"/>
        <v>10</v>
      </c>
      <c r="BH46">
        <f t="shared" si="0"/>
        <v>10</v>
      </c>
      <c r="BI46">
        <f t="shared" si="0"/>
        <v>10</v>
      </c>
      <c r="BJ46">
        <f t="shared" si="0"/>
        <v>10</v>
      </c>
      <c r="BK46">
        <f t="shared" si="0"/>
        <v>10</v>
      </c>
      <c r="BL46">
        <f t="shared" si="0"/>
        <v>10</v>
      </c>
      <c r="BM46">
        <f t="shared" si="0"/>
        <v>10</v>
      </c>
      <c r="BN46">
        <f t="shared" si="0"/>
        <v>10</v>
      </c>
      <c r="BO46">
        <f t="shared" si="0"/>
        <v>10</v>
      </c>
      <c r="BP46">
        <f t="shared" si="0"/>
        <v>10</v>
      </c>
      <c r="BQ46">
        <f t="shared" si="0"/>
        <v>10</v>
      </c>
      <c r="BR46">
        <f t="shared" si="0"/>
        <v>10</v>
      </c>
      <c r="BS46">
        <f t="shared" si="0"/>
        <v>10</v>
      </c>
      <c r="BT46">
        <f t="shared" ref="BT46:EE48" si="1">BS46</f>
        <v>10</v>
      </c>
      <c r="BU46">
        <f t="shared" si="1"/>
        <v>10</v>
      </c>
      <c r="BV46">
        <f t="shared" si="1"/>
        <v>10</v>
      </c>
      <c r="BW46">
        <f t="shared" si="1"/>
        <v>10</v>
      </c>
      <c r="BX46">
        <f t="shared" si="1"/>
        <v>10</v>
      </c>
      <c r="BY46">
        <f t="shared" si="1"/>
        <v>10</v>
      </c>
      <c r="BZ46">
        <f t="shared" si="1"/>
        <v>10</v>
      </c>
      <c r="CA46">
        <f t="shared" si="1"/>
        <v>10</v>
      </c>
      <c r="CB46">
        <f t="shared" si="1"/>
        <v>10</v>
      </c>
      <c r="CC46">
        <f t="shared" si="1"/>
        <v>10</v>
      </c>
      <c r="CD46">
        <f t="shared" si="1"/>
        <v>10</v>
      </c>
      <c r="CE46">
        <f t="shared" si="1"/>
        <v>10</v>
      </c>
      <c r="CF46">
        <f t="shared" si="1"/>
        <v>10</v>
      </c>
      <c r="CG46">
        <f t="shared" si="1"/>
        <v>10</v>
      </c>
      <c r="CH46">
        <f t="shared" si="1"/>
        <v>10</v>
      </c>
      <c r="CI46">
        <f t="shared" si="1"/>
        <v>10</v>
      </c>
      <c r="CJ46">
        <f t="shared" si="1"/>
        <v>10</v>
      </c>
      <c r="CK46">
        <f t="shared" si="1"/>
        <v>10</v>
      </c>
      <c r="CL46">
        <f t="shared" si="1"/>
        <v>10</v>
      </c>
      <c r="CM46">
        <f t="shared" si="1"/>
        <v>10</v>
      </c>
      <c r="CN46">
        <f t="shared" si="1"/>
        <v>10</v>
      </c>
      <c r="CO46">
        <f t="shared" si="1"/>
        <v>10</v>
      </c>
      <c r="CP46">
        <f t="shared" si="1"/>
        <v>10</v>
      </c>
      <c r="CQ46">
        <f t="shared" si="1"/>
        <v>10</v>
      </c>
      <c r="CR46">
        <f t="shared" si="1"/>
        <v>10</v>
      </c>
      <c r="CS46">
        <f t="shared" si="1"/>
        <v>10</v>
      </c>
      <c r="CT46">
        <f t="shared" si="1"/>
        <v>10</v>
      </c>
      <c r="CU46">
        <f t="shared" si="1"/>
        <v>10</v>
      </c>
      <c r="CV46">
        <f t="shared" si="1"/>
        <v>10</v>
      </c>
      <c r="CW46">
        <f t="shared" si="1"/>
        <v>10</v>
      </c>
      <c r="CX46">
        <f t="shared" si="1"/>
        <v>10</v>
      </c>
      <c r="CY46">
        <f t="shared" si="1"/>
        <v>10</v>
      </c>
      <c r="CZ46">
        <f t="shared" si="1"/>
        <v>10</v>
      </c>
      <c r="DA46">
        <f t="shared" si="1"/>
        <v>10</v>
      </c>
      <c r="DB46">
        <f t="shared" si="1"/>
        <v>10</v>
      </c>
      <c r="DC46">
        <f t="shared" si="1"/>
        <v>10</v>
      </c>
      <c r="DD46">
        <f t="shared" si="1"/>
        <v>10</v>
      </c>
      <c r="DE46">
        <f t="shared" si="1"/>
        <v>10</v>
      </c>
      <c r="DF46">
        <f t="shared" si="1"/>
        <v>10</v>
      </c>
      <c r="DG46">
        <f t="shared" si="1"/>
        <v>10</v>
      </c>
      <c r="DH46">
        <f t="shared" si="1"/>
        <v>10</v>
      </c>
      <c r="DI46">
        <f t="shared" si="1"/>
        <v>10</v>
      </c>
      <c r="DJ46">
        <f t="shared" si="1"/>
        <v>10</v>
      </c>
      <c r="DK46">
        <f t="shared" si="1"/>
        <v>10</v>
      </c>
      <c r="DL46">
        <f t="shared" si="1"/>
        <v>10</v>
      </c>
      <c r="DM46">
        <f t="shared" si="1"/>
        <v>10</v>
      </c>
      <c r="DN46">
        <f t="shared" si="1"/>
        <v>10</v>
      </c>
      <c r="DO46">
        <f t="shared" si="1"/>
        <v>10</v>
      </c>
      <c r="DP46">
        <f t="shared" si="1"/>
        <v>10</v>
      </c>
      <c r="DQ46">
        <f t="shared" si="1"/>
        <v>10</v>
      </c>
      <c r="DR46">
        <f t="shared" si="1"/>
        <v>10</v>
      </c>
      <c r="DS46">
        <f t="shared" si="1"/>
        <v>10</v>
      </c>
      <c r="DT46">
        <f t="shared" si="1"/>
        <v>10</v>
      </c>
      <c r="DU46">
        <f t="shared" si="1"/>
        <v>10</v>
      </c>
      <c r="DV46">
        <f t="shared" si="1"/>
        <v>10</v>
      </c>
      <c r="DW46">
        <f t="shared" si="1"/>
        <v>10</v>
      </c>
      <c r="DX46">
        <f t="shared" si="1"/>
        <v>10</v>
      </c>
      <c r="DY46">
        <f t="shared" si="1"/>
        <v>10</v>
      </c>
      <c r="DZ46">
        <f t="shared" si="1"/>
        <v>10</v>
      </c>
      <c r="EA46">
        <f t="shared" si="1"/>
        <v>10</v>
      </c>
      <c r="EB46">
        <f t="shared" si="1"/>
        <v>10</v>
      </c>
      <c r="EC46">
        <f t="shared" si="1"/>
        <v>10</v>
      </c>
      <c r="ED46">
        <f t="shared" si="1"/>
        <v>10</v>
      </c>
      <c r="EE46">
        <f t="shared" si="1"/>
        <v>10</v>
      </c>
      <c r="EF46">
        <f t="shared" ref="EF46:EG47" si="2">EE46</f>
        <v>10</v>
      </c>
      <c r="EG46">
        <f t="shared" si="2"/>
        <v>10</v>
      </c>
    </row>
    <row r="47" spans="1:139" x14ac:dyDescent="0.25">
      <c r="B47" s="36" t="s">
        <v>132</v>
      </c>
      <c r="C47" s="6">
        <v>10</v>
      </c>
      <c r="D47">
        <v>440</v>
      </c>
      <c r="F47">
        <f t="shared" ref="F47:F49" si="3">C47</f>
        <v>10</v>
      </c>
      <c r="G47">
        <f t="shared" ref="G47:G49" si="4">F47</f>
        <v>10</v>
      </c>
      <c r="H47">
        <f t="shared" ref="H47:BS49" si="5">G47</f>
        <v>10</v>
      </c>
      <c r="I47">
        <f t="shared" si="5"/>
        <v>10</v>
      </c>
      <c r="J47">
        <f t="shared" si="5"/>
        <v>10</v>
      </c>
      <c r="K47">
        <f t="shared" si="5"/>
        <v>10</v>
      </c>
      <c r="L47">
        <f t="shared" si="5"/>
        <v>10</v>
      </c>
      <c r="M47">
        <f t="shared" si="5"/>
        <v>10</v>
      </c>
      <c r="N47">
        <f t="shared" si="5"/>
        <v>10</v>
      </c>
      <c r="O47">
        <f t="shared" si="5"/>
        <v>10</v>
      </c>
      <c r="P47">
        <f t="shared" si="5"/>
        <v>10</v>
      </c>
      <c r="Q47">
        <f t="shared" si="5"/>
        <v>10</v>
      </c>
      <c r="R47">
        <f t="shared" si="5"/>
        <v>10</v>
      </c>
      <c r="S47">
        <f t="shared" si="5"/>
        <v>10</v>
      </c>
      <c r="T47">
        <f t="shared" si="5"/>
        <v>10</v>
      </c>
      <c r="U47">
        <f t="shared" si="5"/>
        <v>10</v>
      </c>
      <c r="V47">
        <f t="shared" si="5"/>
        <v>10</v>
      </c>
      <c r="W47">
        <f t="shared" si="5"/>
        <v>10</v>
      </c>
      <c r="X47">
        <f t="shared" si="5"/>
        <v>10</v>
      </c>
      <c r="Y47">
        <f t="shared" si="5"/>
        <v>10</v>
      </c>
      <c r="Z47">
        <f t="shared" si="5"/>
        <v>10</v>
      </c>
      <c r="AA47">
        <f t="shared" si="5"/>
        <v>10</v>
      </c>
      <c r="AB47">
        <f t="shared" si="5"/>
        <v>10</v>
      </c>
      <c r="AC47">
        <f t="shared" si="5"/>
        <v>10</v>
      </c>
      <c r="AD47">
        <f t="shared" si="5"/>
        <v>10</v>
      </c>
      <c r="AE47">
        <f t="shared" si="5"/>
        <v>10</v>
      </c>
      <c r="AF47">
        <f t="shared" si="5"/>
        <v>10</v>
      </c>
      <c r="AG47">
        <f t="shared" si="5"/>
        <v>10</v>
      </c>
      <c r="AH47">
        <f t="shared" si="5"/>
        <v>10</v>
      </c>
      <c r="AI47">
        <f t="shared" si="5"/>
        <v>10</v>
      </c>
      <c r="AJ47">
        <f t="shared" si="5"/>
        <v>10</v>
      </c>
      <c r="AK47">
        <f t="shared" si="5"/>
        <v>10</v>
      </c>
      <c r="AL47">
        <f t="shared" si="5"/>
        <v>10</v>
      </c>
      <c r="AM47">
        <f t="shared" si="5"/>
        <v>10</v>
      </c>
      <c r="AN47">
        <f t="shared" si="5"/>
        <v>10</v>
      </c>
      <c r="AO47">
        <f t="shared" si="5"/>
        <v>10</v>
      </c>
      <c r="AP47">
        <f t="shared" si="5"/>
        <v>10</v>
      </c>
      <c r="AQ47">
        <f t="shared" si="5"/>
        <v>10</v>
      </c>
      <c r="AR47">
        <f t="shared" si="5"/>
        <v>10</v>
      </c>
      <c r="AS47">
        <f t="shared" si="5"/>
        <v>10</v>
      </c>
      <c r="AT47">
        <f t="shared" si="5"/>
        <v>10</v>
      </c>
      <c r="AU47">
        <f t="shared" si="5"/>
        <v>10</v>
      </c>
      <c r="AV47">
        <f t="shared" si="5"/>
        <v>10</v>
      </c>
      <c r="AW47">
        <f t="shared" si="5"/>
        <v>10</v>
      </c>
      <c r="AX47">
        <f t="shared" si="5"/>
        <v>10</v>
      </c>
      <c r="AY47">
        <f t="shared" si="5"/>
        <v>10</v>
      </c>
      <c r="AZ47">
        <f t="shared" si="5"/>
        <v>10</v>
      </c>
      <c r="BA47">
        <f t="shared" si="5"/>
        <v>10</v>
      </c>
      <c r="BB47">
        <f t="shared" si="5"/>
        <v>10</v>
      </c>
      <c r="BC47">
        <f t="shared" si="5"/>
        <v>10</v>
      </c>
      <c r="BD47">
        <f t="shared" si="5"/>
        <v>10</v>
      </c>
      <c r="BE47">
        <f t="shared" si="5"/>
        <v>10</v>
      </c>
      <c r="BF47">
        <f t="shared" si="5"/>
        <v>10</v>
      </c>
      <c r="BG47">
        <f t="shared" si="5"/>
        <v>10</v>
      </c>
      <c r="BH47">
        <f t="shared" si="5"/>
        <v>10</v>
      </c>
      <c r="BI47">
        <f t="shared" si="5"/>
        <v>10</v>
      </c>
      <c r="BJ47">
        <f t="shared" si="5"/>
        <v>10</v>
      </c>
      <c r="BK47">
        <f t="shared" si="5"/>
        <v>10</v>
      </c>
      <c r="BL47">
        <f t="shared" si="5"/>
        <v>10</v>
      </c>
      <c r="BM47">
        <f t="shared" si="5"/>
        <v>10</v>
      </c>
      <c r="BN47">
        <f t="shared" si="5"/>
        <v>10</v>
      </c>
      <c r="BO47">
        <f t="shared" si="5"/>
        <v>10</v>
      </c>
      <c r="BP47">
        <f t="shared" si="5"/>
        <v>10</v>
      </c>
      <c r="BQ47">
        <f t="shared" si="5"/>
        <v>10</v>
      </c>
      <c r="BR47">
        <f t="shared" si="5"/>
        <v>10</v>
      </c>
      <c r="BS47">
        <f t="shared" si="5"/>
        <v>10</v>
      </c>
      <c r="BT47">
        <f t="shared" si="1"/>
        <v>10</v>
      </c>
      <c r="BU47">
        <f t="shared" si="1"/>
        <v>10</v>
      </c>
      <c r="BV47">
        <f t="shared" si="1"/>
        <v>10</v>
      </c>
      <c r="BW47">
        <f t="shared" si="1"/>
        <v>10</v>
      </c>
      <c r="BX47">
        <f t="shared" si="1"/>
        <v>10</v>
      </c>
      <c r="BY47">
        <f t="shared" si="1"/>
        <v>10</v>
      </c>
      <c r="BZ47">
        <f t="shared" si="1"/>
        <v>10</v>
      </c>
      <c r="CA47">
        <f t="shared" si="1"/>
        <v>10</v>
      </c>
      <c r="CB47">
        <f t="shared" si="1"/>
        <v>10</v>
      </c>
      <c r="CC47">
        <f t="shared" si="1"/>
        <v>10</v>
      </c>
      <c r="CD47">
        <f t="shared" si="1"/>
        <v>10</v>
      </c>
      <c r="CE47">
        <f t="shared" si="1"/>
        <v>10</v>
      </c>
      <c r="CF47">
        <f t="shared" si="1"/>
        <v>10</v>
      </c>
      <c r="CG47">
        <f t="shared" si="1"/>
        <v>10</v>
      </c>
      <c r="CH47">
        <f t="shared" si="1"/>
        <v>10</v>
      </c>
      <c r="CI47">
        <f t="shared" si="1"/>
        <v>10</v>
      </c>
      <c r="CJ47">
        <f t="shared" si="1"/>
        <v>10</v>
      </c>
      <c r="CK47">
        <f t="shared" si="1"/>
        <v>10</v>
      </c>
      <c r="CL47">
        <f t="shared" si="1"/>
        <v>10</v>
      </c>
      <c r="CM47">
        <f t="shared" si="1"/>
        <v>10</v>
      </c>
      <c r="CN47">
        <f t="shared" si="1"/>
        <v>10</v>
      </c>
      <c r="CO47">
        <f t="shared" si="1"/>
        <v>10</v>
      </c>
      <c r="CP47">
        <f t="shared" si="1"/>
        <v>10</v>
      </c>
      <c r="CQ47">
        <f t="shared" si="1"/>
        <v>10</v>
      </c>
      <c r="CR47">
        <f t="shared" si="1"/>
        <v>10</v>
      </c>
      <c r="CS47">
        <f t="shared" si="1"/>
        <v>10</v>
      </c>
      <c r="CT47">
        <f t="shared" si="1"/>
        <v>10</v>
      </c>
      <c r="CU47">
        <f t="shared" si="1"/>
        <v>10</v>
      </c>
      <c r="CV47">
        <f t="shared" si="1"/>
        <v>10</v>
      </c>
      <c r="CW47">
        <f t="shared" si="1"/>
        <v>10</v>
      </c>
      <c r="CX47">
        <f t="shared" si="1"/>
        <v>10</v>
      </c>
      <c r="CY47">
        <f t="shared" si="1"/>
        <v>10</v>
      </c>
      <c r="CZ47">
        <f t="shared" si="1"/>
        <v>10</v>
      </c>
      <c r="DA47">
        <f t="shared" si="1"/>
        <v>10</v>
      </c>
      <c r="DB47">
        <f t="shared" si="1"/>
        <v>10</v>
      </c>
      <c r="DC47">
        <f t="shared" si="1"/>
        <v>10</v>
      </c>
      <c r="DD47">
        <f t="shared" si="1"/>
        <v>10</v>
      </c>
      <c r="DE47">
        <f t="shared" si="1"/>
        <v>10</v>
      </c>
      <c r="DF47">
        <f t="shared" si="1"/>
        <v>10</v>
      </c>
      <c r="DG47">
        <f t="shared" si="1"/>
        <v>10</v>
      </c>
      <c r="DH47">
        <f t="shared" si="1"/>
        <v>10</v>
      </c>
      <c r="DI47">
        <f t="shared" si="1"/>
        <v>10</v>
      </c>
      <c r="DJ47">
        <f t="shared" si="1"/>
        <v>10</v>
      </c>
      <c r="DK47">
        <f t="shared" si="1"/>
        <v>10</v>
      </c>
      <c r="DL47">
        <f t="shared" si="1"/>
        <v>10</v>
      </c>
      <c r="DM47">
        <f t="shared" si="1"/>
        <v>10</v>
      </c>
      <c r="DN47">
        <f t="shared" si="1"/>
        <v>10</v>
      </c>
      <c r="DO47">
        <f t="shared" si="1"/>
        <v>10</v>
      </c>
      <c r="DP47">
        <f t="shared" si="1"/>
        <v>10</v>
      </c>
      <c r="DQ47">
        <f t="shared" si="1"/>
        <v>10</v>
      </c>
      <c r="DR47">
        <f t="shared" si="1"/>
        <v>10</v>
      </c>
      <c r="DS47">
        <f t="shared" si="1"/>
        <v>10</v>
      </c>
      <c r="DT47">
        <f t="shared" si="1"/>
        <v>10</v>
      </c>
      <c r="DU47">
        <f t="shared" si="1"/>
        <v>10</v>
      </c>
      <c r="DV47">
        <f t="shared" si="1"/>
        <v>10</v>
      </c>
      <c r="DW47">
        <f t="shared" si="1"/>
        <v>10</v>
      </c>
      <c r="DX47">
        <f t="shared" si="1"/>
        <v>10</v>
      </c>
      <c r="DY47">
        <f t="shared" si="1"/>
        <v>10</v>
      </c>
      <c r="DZ47">
        <f t="shared" si="1"/>
        <v>10</v>
      </c>
      <c r="EA47">
        <f t="shared" si="1"/>
        <v>10</v>
      </c>
      <c r="EB47">
        <f t="shared" si="1"/>
        <v>10</v>
      </c>
      <c r="EC47">
        <f t="shared" si="1"/>
        <v>10</v>
      </c>
      <c r="ED47">
        <f t="shared" si="1"/>
        <v>10</v>
      </c>
      <c r="EE47">
        <f t="shared" si="1"/>
        <v>10</v>
      </c>
      <c r="EF47">
        <f t="shared" si="2"/>
        <v>10</v>
      </c>
      <c r="EG47">
        <f t="shared" si="2"/>
        <v>10</v>
      </c>
    </row>
    <row r="48" spans="1:139" x14ac:dyDescent="0.25">
      <c r="B48" s="37" t="s">
        <v>133</v>
      </c>
      <c r="C48" s="6">
        <v>10</v>
      </c>
      <c r="D48">
        <v>390</v>
      </c>
      <c r="F48">
        <f t="shared" si="3"/>
        <v>10</v>
      </c>
      <c r="G48">
        <f t="shared" si="4"/>
        <v>10</v>
      </c>
      <c r="H48">
        <f t="shared" si="5"/>
        <v>10</v>
      </c>
      <c r="I48">
        <f t="shared" si="5"/>
        <v>10</v>
      </c>
      <c r="J48">
        <f t="shared" si="5"/>
        <v>10</v>
      </c>
      <c r="K48">
        <f t="shared" si="5"/>
        <v>10</v>
      </c>
      <c r="L48">
        <f t="shared" si="5"/>
        <v>10</v>
      </c>
      <c r="M48">
        <f t="shared" si="5"/>
        <v>10</v>
      </c>
      <c r="N48">
        <f t="shared" si="5"/>
        <v>10</v>
      </c>
      <c r="O48">
        <f t="shared" si="5"/>
        <v>10</v>
      </c>
      <c r="P48">
        <f t="shared" si="5"/>
        <v>10</v>
      </c>
      <c r="Q48">
        <f t="shared" si="5"/>
        <v>10</v>
      </c>
      <c r="R48">
        <f t="shared" si="5"/>
        <v>10</v>
      </c>
      <c r="S48">
        <f t="shared" si="5"/>
        <v>10</v>
      </c>
      <c r="T48">
        <f t="shared" si="5"/>
        <v>10</v>
      </c>
      <c r="U48">
        <f t="shared" si="5"/>
        <v>10</v>
      </c>
      <c r="V48">
        <f t="shared" si="5"/>
        <v>10</v>
      </c>
      <c r="W48">
        <f t="shared" si="5"/>
        <v>10</v>
      </c>
      <c r="X48">
        <f t="shared" si="5"/>
        <v>10</v>
      </c>
      <c r="Y48">
        <f t="shared" si="5"/>
        <v>10</v>
      </c>
      <c r="Z48">
        <f t="shared" si="5"/>
        <v>10</v>
      </c>
      <c r="AA48">
        <f t="shared" si="5"/>
        <v>10</v>
      </c>
      <c r="AB48">
        <f t="shared" si="5"/>
        <v>10</v>
      </c>
      <c r="AC48">
        <f t="shared" si="5"/>
        <v>10</v>
      </c>
      <c r="AD48">
        <f t="shared" si="5"/>
        <v>10</v>
      </c>
      <c r="AE48">
        <f t="shared" si="5"/>
        <v>10</v>
      </c>
      <c r="AF48">
        <f t="shared" si="5"/>
        <v>10</v>
      </c>
      <c r="AG48">
        <f t="shared" si="5"/>
        <v>10</v>
      </c>
      <c r="AH48">
        <f t="shared" si="5"/>
        <v>10</v>
      </c>
      <c r="AI48">
        <f t="shared" si="5"/>
        <v>10</v>
      </c>
      <c r="AJ48">
        <f t="shared" si="5"/>
        <v>10</v>
      </c>
      <c r="AK48">
        <f t="shared" si="5"/>
        <v>10</v>
      </c>
      <c r="AL48">
        <f t="shared" si="5"/>
        <v>10</v>
      </c>
      <c r="AM48">
        <f t="shared" si="5"/>
        <v>10</v>
      </c>
      <c r="AN48">
        <f t="shared" si="5"/>
        <v>10</v>
      </c>
      <c r="AO48">
        <f t="shared" si="5"/>
        <v>10</v>
      </c>
      <c r="AP48">
        <f t="shared" si="5"/>
        <v>10</v>
      </c>
      <c r="AQ48">
        <f t="shared" si="5"/>
        <v>10</v>
      </c>
      <c r="AR48">
        <f t="shared" si="5"/>
        <v>10</v>
      </c>
      <c r="AS48">
        <f t="shared" si="5"/>
        <v>10</v>
      </c>
      <c r="AT48">
        <f t="shared" si="5"/>
        <v>10</v>
      </c>
      <c r="AU48">
        <f t="shared" si="5"/>
        <v>10</v>
      </c>
      <c r="AV48">
        <f t="shared" si="5"/>
        <v>10</v>
      </c>
      <c r="AW48">
        <f t="shared" si="5"/>
        <v>10</v>
      </c>
      <c r="AX48">
        <f t="shared" si="5"/>
        <v>10</v>
      </c>
      <c r="AY48">
        <f t="shared" si="5"/>
        <v>10</v>
      </c>
      <c r="AZ48">
        <f t="shared" si="5"/>
        <v>10</v>
      </c>
      <c r="BA48">
        <f t="shared" si="5"/>
        <v>10</v>
      </c>
      <c r="BB48">
        <f t="shared" si="5"/>
        <v>10</v>
      </c>
      <c r="BC48">
        <f t="shared" si="5"/>
        <v>10</v>
      </c>
      <c r="BD48">
        <f t="shared" si="5"/>
        <v>10</v>
      </c>
      <c r="BE48">
        <f t="shared" si="5"/>
        <v>10</v>
      </c>
      <c r="BF48">
        <f t="shared" si="5"/>
        <v>10</v>
      </c>
      <c r="BG48">
        <f t="shared" si="5"/>
        <v>10</v>
      </c>
      <c r="BH48">
        <f t="shared" si="5"/>
        <v>10</v>
      </c>
      <c r="BI48">
        <f t="shared" si="5"/>
        <v>10</v>
      </c>
      <c r="BJ48">
        <f t="shared" si="5"/>
        <v>10</v>
      </c>
      <c r="BK48">
        <f t="shared" si="5"/>
        <v>10</v>
      </c>
      <c r="BL48">
        <f t="shared" si="5"/>
        <v>10</v>
      </c>
      <c r="BM48">
        <f t="shared" si="5"/>
        <v>10</v>
      </c>
      <c r="BN48">
        <f t="shared" si="5"/>
        <v>10</v>
      </c>
      <c r="BO48">
        <f t="shared" si="5"/>
        <v>10</v>
      </c>
      <c r="BP48">
        <f t="shared" si="5"/>
        <v>10</v>
      </c>
      <c r="BQ48">
        <f t="shared" si="5"/>
        <v>10</v>
      </c>
      <c r="BR48">
        <f t="shared" si="5"/>
        <v>10</v>
      </c>
      <c r="BS48">
        <f t="shared" si="5"/>
        <v>10</v>
      </c>
      <c r="BT48">
        <f t="shared" si="1"/>
        <v>10</v>
      </c>
      <c r="BU48">
        <f t="shared" si="1"/>
        <v>10</v>
      </c>
      <c r="BV48">
        <f t="shared" si="1"/>
        <v>10</v>
      </c>
      <c r="BW48">
        <f t="shared" si="1"/>
        <v>10</v>
      </c>
      <c r="BX48">
        <f t="shared" si="1"/>
        <v>10</v>
      </c>
      <c r="BY48">
        <f t="shared" si="1"/>
        <v>10</v>
      </c>
      <c r="BZ48">
        <f t="shared" si="1"/>
        <v>10</v>
      </c>
      <c r="CA48">
        <f t="shared" si="1"/>
        <v>10</v>
      </c>
      <c r="CB48">
        <f t="shared" si="1"/>
        <v>10</v>
      </c>
      <c r="CC48">
        <f t="shared" si="1"/>
        <v>10</v>
      </c>
      <c r="CD48">
        <f t="shared" si="1"/>
        <v>10</v>
      </c>
      <c r="CE48">
        <f t="shared" si="1"/>
        <v>10</v>
      </c>
      <c r="CF48">
        <f t="shared" si="1"/>
        <v>10</v>
      </c>
      <c r="CG48">
        <f t="shared" si="1"/>
        <v>10</v>
      </c>
      <c r="CH48">
        <f t="shared" si="1"/>
        <v>10</v>
      </c>
      <c r="CI48">
        <f t="shared" si="1"/>
        <v>10</v>
      </c>
      <c r="CJ48">
        <f t="shared" si="1"/>
        <v>10</v>
      </c>
      <c r="CK48">
        <f t="shared" si="1"/>
        <v>10</v>
      </c>
      <c r="CL48">
        <f t="shared" si="1"/>
        <v>10</v>
      </c>
      <c r="CM48">
        <f t="shared" si="1"/>
        <v>10</v>
      </c>
      <c r="CN48">
        <f t="shared" si="1"/>
        <v>10</v>
      </c>
      <c r="CO48">
        <f t="shared" si="1"/>
        <v>10</v>
      </c>
      <c r="CP48">
        <f t="shared" si="1"/>
        <v>10</v>
      </c>
      <c r="CQ48">
        <f t="shared" si="1"/>
        <v>10</v>
      </c>
      <c r="CR48">
        <f t="shared" si="1"/>
        <v>10</v>
      </c>
      <c r="CS48">
        <f t="shared" si="1"/>
        <v>10</v>
      </c>
      <c r="CT48">
        <f t="shared" si="1"/>
        <v>10</v>
      </c>
      <c r="CU48">
        <f t="shared" si="1"/>
        <v>10</v>
      </c>
      <c r="CV48">
        <f t="shared" si="1"/>
        <v>10</v>
      </c>
      <c r="CW48">
        <f t="shared" si="1"/>
        <v>10</v>
      </c>
      <c r="CX48">
        <f t="shared" si="1"/>
        <v>10</v>
      </c>
      <c r="CY48">
        <f t="shared" si="1"/>
        <v>10</v>
      </c>
      <c r="CZ48">
        <f t="shared" si="1"/>
        <v>10</v>
      </c>
      <c r="DA48">
        <f t="shared" si="1"/>
        <v>10</v>
      </c>
      <c r="DB48">
        <f t="shared" si="1"/>
        <v>10</v>
      </c>
      <c r="DC48">
        <f t="shared" si="1"/>
        <v>10</v>
      </c>
      <c r="DD48">
        <f t="shared" si="1"/>
        <v>10</v>
      </c>
      <c r="DE48">
        <f t="shared" si="1"/>
        <v>10</v>
      </c>
      <c r="DF48">
        <f t="shared" si="1"/>
        <v>10</v>
      </c>
      <c r="DG48">
        <f t="shared" si="1"/>
        <v>10</v>
      </c>
      <c r="DH48">
        <f t="shared" si="1"/>
        <v>10</v>
      </c>
      <c r="DI48">
        <f t="shared" si="1"/>
        <v>10</v>
      </c>
      <c r="DJ48">
        <f t="shared" si="1"/>
        <v>10</v>
      </c>
      <c r="DK48">
        <f t="shared" si="1"/>
        <v>10</v>
      </c>
      <c r="DL48">
        <f t="shared" si="1"/>
        <v>10</v>
      </c>
      <c r="DM48">
        <f t="shared" si="1"/>
        <v>10</v>
      </c>
      <c r="DN48">
        <f t="shared" si="1"/>
        <v>10</v>
      </c>
      <c r="DO48">
        <f t="shared" si="1"/>
        <v>10</v>
      </c>
      <c r="DP48">
        <f t="shared" si="1"/>
        <v>10</v>
      </c>
      <c r="DQ48">
        <f t="shared" si="1"/>
        <v>10</v>
      </c>
      <c r="DR48">
        <f t="shared" si="1"/>
        <v>10</v>
      </c>
      <c r="DS48">
        <f t="shared" si="1"/>
        <v>10</v>
      </c>
      <c r="DT48">
        <f t="shared" si="1"/>
        <v>10</v>
      </c>
      <c r="DU48">
        <f t="shared" si="1"/>
        <v>10</v>
      </c>
      <c r="DV48">
        <f t="shared" si="1"/>
        <v>10</v>
      </c>
      <c r="DW48">
        <f t="shared" si="1"/>
        <v>10</v>
      </c>
      <c r="DX48">
        <f t="shared" si="1"/>
        <v>10</v>
      </c>
      <c r="DY48">
        <f t="shared" si="1"/>
        <v>10</v>
      </c>
      <c r="DZ48">
        <f t="shared" si="1"/>
        <v>10</v>
      </c>
      <c r="EA48">
        <f t="shared" si="1"/>
        <v>10</v>
      </c>
      <c r="EB48">
        <f t="shared" si="1"/>
        <v>10</v>
      </c>
      <c r="EC48">
        <f t="shared" si="1"/>
        <v>10</v>
      </c>
      <c r="ED48">
        <f t="shared" si="1"/>
        <v>10</v>
      </c>
      <c r="EE48">
        <f t="shared" ref="EE48:EG49" si="6">ED48</f>
        <v>10</v>
      </c>
      <c r="EF48">
        <f t="shared" si="6"/>
        <v>10</v>
      </c>
      <c r="EG48">
        <f t="shared" si="6"/>
        <v>10</v>
      </c>
    </row>
    <row r="49" spans="1:137" x14ac:dyDescent="0.25">
      <c r="B49" s="33" t="s">
        <v>134</v>
      </c>
      <c r="C49" s="6">
        <v>10</v>
      </c>
      <c r="D49">
        <v>420</v>
      </c>
      <c r="F49">
        <f t="shared" si="3"/>
        <v>10</v>
      </c>
      <c r="G49">
        <f t="shared" si="4"/>
        <v>10</v>
      </c>
      <c r="H49">
        <f t="shared" si="5"/>
        <v>10</v>
      </c>
      <c r="I49">
        <f t="shared" si="5"/>
        <v>10</v>
      </c>
      <c r="J49">
        <f t="shared" si="5"/>
        <v>10</v>
      </c>
      <c r="K49">
        <f t="shared" si="5"/>
        <v>10</v>
      </c>
      <c r="L49">
        <f t="shared" si="5"/>
        <v>10</v>
      </c>
      <c r="M49">
        <f t="shared" si="5"/>
        <v>10</v>
      </c>
      <c r="N49">
        <f t="shared" si="5"/>
        <v>10</v>
      </c>
      <c r="O49">
        <f t="shared" si="5"/>
        <v>10</v>
      </c>
      <c r="P49">
        <f t="shared" si="5"/>
        <v>10</v>
      </c>
      <c r="Q49">
        <f t="shared" si="5"/>
        <v>10</v>
      </c>
      <c r="R49">
        <f t="shared" si="5"/>
        <v>10</v>
      </c>
      <c r="S49">
        <f t="shared" si="5"/>
        <v>10</v>
      </c>
      <c r="T49">
        <f t="shared" si="5"/>
        <v>10</v>
      </c>
      <c r="U49">
        <f t="shared" si="5"/>
        <v>10</v>
      </c>
      <c r="V49">
        <f t="shared" si="5"/>
        <v>10</v>
      </c>
      <c r="W49">
        <f t="shared" si="5"/>
        <v>10</v>
      </c>
      <c r="X49">
        <f t="shared" si="5"/>
        <v>10</v>
      </c>
      <c r="Y49">
        <f t="shared" si="5"/>
        <v>10</v>
      </c>
      <c r="Z49">
        <f t="shared" si="5"/>
        <v>10</v>
      </c>
      <c r="AA49">
        <f t="shared" si="5"/>
        <v>10</v>
      </c>
      <c r="AB49">
        <f t="shared" si="5"/>
        <v>10</v>
      </c>
      <c r="AC49">
        <f t="shared" si="5"/>
        <v>10</v>
      </c>
      <c r="AD49">
        <f t="shared" si="5"/>
        <v>10</v>
      </c>
      <c r="AE49">
        <f t="shared" si="5"/>
        <v>10</v>
      </c>
      <c r="AF49">
        <f t="shared" si="5"/>
        <v>10</v>
      </c>
      <c r="AG49">
        <f t="shared" si="5"/>
        <v>10</v>
      </c>
      <c r="AH49">
        <f t="shared" si="5"/>
        <v>10</v>
      </c>
      <c r="AI49">
        <f t="shared" si="5"/>
        <v>10</v>
      </c>
      <c r="AJ49">
        <f t="shared" si="5"/>
        <v>10</v>
      </c>
      <c r="AK49">
        <f t="shared" si="5"/>
        <v>10</v>
      </c>
      <c r="AL49">
        <f t="shared" si="5"/>
        <v>10</v>
      </c>
      <c r="AM49">
        <f t="shared" si="5"/>
        <v>10</v>
      </c>
      <c r="AN49">
        <f t="shared" si="5"/>
        <v>10</v>
      </c>
      <c r="AO49">
        <f t="shared" si="5"/>
        <v>10</v>
      </c>
      <c r="AP49">
        <f t="shared" si="5"/>
        <v>10</v>
      </c>
      <c r="AQ49">
        <f t="shared" si="5"/>
        <v>10</v>
      </c>
      <c r="AR49">
        <f t="shared" si="5"/>
        <v>10</v>
      </c>
      <c r="AS49">
        <f t="shared" si="5"/>
        <v>10</v>
      </c>
      <c r="AT49">
        <f t="shared" si="5"/>
        <v>10</v>
      </c>
      <c r="AU49">
        <f t="shared" si="5"/>
        <v>10</v>
      </c>
      <c r="AV49">
        <f t="shared" si="5"/>
        <v>10</v>
      </c>
      <c r="AW49">
        <f t="shared" si="5"/>
        <v>10</v>
      </c>
      <c r="AX49">
        <f t="shared" si="5"/>
        <v>10</v>
      </c>
      <c r="AY49">
        <f t="shared" si="5"/>
        <v>10</v>
      </c>
      <c r="AZ49">
        <f t="shared" si="5"/>
        <v>10</v>
      </c>
      <c r="BA49">
        <f t="shared" si="5"/>
        <v>10</v>
      </c>
      <c r="BB49">
        <f t="shared" si="5"/>
        <v>10</v>
      </c>
      <c r="BC49">
        <f t="shared" si="5"/>
        <v>10</v>
      </c>
      <c r="BD49">
        <f t="shared" si="5"/>
        <v>10</v>
      </c>
      <c r="BE49">
        <f t="shared" si="5"/>
        <v>10</v>
      </c>
      <c r="BF49">
        <f t="shared" si="5"/>
        <v>10</v>
      </c>
      <c r="BG49">
        <f t="shared" si="5"/>
        <v>10</v>
      </c>
      <c r="BH49">
        <f t="shared" si="5"/>
        <v>10</v>
      </c>
      <c r="BI49">
        <f t="shared" si="5"/>
        <v>10</v>
      </c>
      <c r="BJ49">
        <f t="shared" si="5"/>
        <v>10</v>
      </c>
      <c r="BK49">
        <f t="shared" si="5"/>
        <v>10</v>
      </c>
      <c r="BL49">
        <f t="shared" si="5"/>
        <v>10</v>
      </c>
      <c r="BM49">
        <f t="shared" si="5"/>
        <v>10</v>
      </c>
      <c r="BN49">
        <f t="shared" si="5"/>
        <v>10</v>
      </c>
      <c r="BO49">
        <f t="shared" si="5"/>
        <v>10</v>
      </c>
      <c r="BP49">
        <f t="shared" si="5"/>
        <v>10</v>
      </c>
      <c r="BQ49">
        <f t="shared" si="5"/>
        <v>10</v>
      </c>
      <c r="BR49">
        <f t="shared" si="5"/>
        <v>10</v>
      </c>
      <c r="BS49">
        <f t="shared" si="5"/>
        <v>10</v>
      </c>
      <c r="BT49">
        <f t="shared" ref="BT49:EE49" si="7">BS49</f>
        <v>10</v>
      </c>
      <c r="BU49">
        <f t="shared" si="7"/>
        <v>10</v>
      </c>
      <c r="BV49">
        <f t="shared" si="7"/>
        <v>10</v>
      </c>
      <c r="BW49">
        <f t="shared" si="7"/>
        <v>10</v>
      </c>
      <c r="BX49">
        <f t="shared" si="7"/>
        <v>10</v>
      </c>
      <c r="BY49">
        <f t="shared" si="7"/>
        <v>10</v>
      </c>
      <c r="BZ49">
        <f t="shared" si="7"/>
        <v>10</v>
      </c>
      <c r="CA49">
        <f t="shared" si="7"/>
        <v>10</v>
      </c>
      <c r="CB49">
        <f t="shared" si="7"/>
        <v>10</v>
      </c>
      <c r="CC49">
        <f t="shared" si="7"/>
        <v>10</v>
      </c>
      <c r="CD49">
        <f t="shared" si="7"/>
        <v>10</v>
      </c>
      <c r="CE49">
        <f t="shared" si="7"/>
        <v>10</v>
      </c>
      <c r="CF49">
        <f t="shared" si="7"/>
        <v>10</v>
      </c>
      <c r="CG49">
        <f t="shared" si="7"/>
        <v>10</v>
      </c>
      <c r="CH49">
        <f t="shared" si="7"/>
        <v>10</v>
      </c>
      <c r="CI49">
        <f t="shared" si="7"/>
        <v>10</v>
      </c>
      <c r="CJ49">
        <f t="shared" si="7"/>
        <v>10</v>
      </c>
      <c r="CK49">
        <f t="shared" si="7"/>
        <v>10</v>
      </c>
      <c r="CL49">
        <f t="shared" si="7"/>
        <v>10</v>
      </c>
      <c r="CM49">
        <f t="shared" si="7"/>
        <v>10</v>
      </c>
      <c r="CN49">
        <f t="shared" si="7"/>
        <v>10</v>
      </c>
      <c r="CO49">
        <f t="shared" si="7"/>
        <v>10</v>
      </c>
      <c r="CP49">
        <f t="shared" si="7"/>
        <v>10</v>
      </c>
      <c r="CQ49">
        <f t="shared" si="7"/>
        <v>10</v>
      </c>
      <c r="CR49">
        <f t="shared" si="7"/>
        <v>10</v>
      </c>
      <c r="CS49">
        <f t="shared" si="7"/>
        <v>10</v>
      </c>
      <c r="CT49">
        <f t="shared" si="7"/>
        <v>10</v>
      </c>
      <c r="CU49">
        <f t="shared" si="7"/>
        <v>10</v>
      </c>
      <c r="CV49">
        <f t="shared" si="7"/>
        <v>10</v>
      </c>
      <c r="CW49">
        <f t="shared" si="7"/>
        <v>10</v>
      </c>
      <c r="CX49">
        <f t="shared" si="7"/>
        <v>10</v>
      </c>
      <c r="CY49">
        <f t="shared" si="7"/>
        <v>10</v>
      </c>
      <c r="CZ49">
        <f t="shared" si="7"/>
        <v>10</v>
      </c>
      <c r="DA49">
        <f t="shared" si="7"/>
        <v>10</v>
      </c>
      <c r="DB49">
        <f t="shared" si="7"/>
        <v>10</v>
      </c>
      <c r="DC49">
        <f t="shared" si="7"/>
        <v>10</v>
      </c>
      <c r="DD49">
        <f t="shared" si="7"/>
        <v>10</v>
      </c>
      <c r="DE49">
        <f t="shared" si="7"/>
        <v>10</v>
      </c>
      <c r="DF49">
        <f t="shared" si="7"/>
        <v>10</v>
      </c>
      <c r="DG49">
        <f t="shared" si="7"/>
        <v>10</v>
      </c>
      <c r="DH49">
        <f t="shared" si="7"/>
        <v>10</v>
      </c>
      <c r="DI49">
        <f t="shared" si="7"/>
        <v>10</v>
      </c>
      <c r="DJ49">
        <f t="shared" si="7"/>
        <v>10</v>
      </c>
      <c r="DK49">
        <f t="shared" si="7"/>
        <v>10</v>
      </c>
      <c r="DL49">
        <f t="shared" si="7"/>
        <v>10</v>
      </c>
      <c r="DM49">
        <f t="shared" si="7"/>
        <v>10</v>
      </c>
      <c r="DN49">
        <f t="shared" si="7"/>
        <v>10</v>
      </c>
      <c r="DO49">
        <f t="shared" si="7"/>
        <v>10</v>
      </c>
      <c r="DP49">
        <f t="shared" si="7"/>
        <v>10</v>
      </c>
      <c r="DQ49">
        <f t="shared" si="7"/>
        <v>10</v>
      </c>
      <c r="DR49">
        <f t="shared" si="7"/>
        <v>10</v>
      </c>
      <c r="DS49">
        <f t="shared" si="7"/>
        <v>10</v>
      </c>
      <c r="DT49">
        <f t="shared" si="7"/>
        <v>10</v>
      </c>
      <c r="DU49">
        <f t="shared" si="7"/>
        <v>10</v>
      </c>
      <c r="DV49">
        <f t="shared" si="7"/>
        <v>10</v>
      </c>
      <c r="DW49">
        <f t="shared" si="7"/>
        <v>10</v>
      </c>
      <c r="DX49">
        <f t="shared" si="7"/>
        <v>10</v>
      </c>
      <c r="DY49">
        <f t="shared" si="7"/>
        <v>10</v>
      </c>
      <c r="DZ49">
        <f t="shared" si="7"/>
        <v>10</v>
      </c>
      <c r="EA49">
        <f t="shared" si="7"/>
        <v>10</v>
      </c>
      <c r="EB49">
        <f t="shared" si="7"/>
        <v>10</v>
      </c>
      <c r="EC49">
        <f t="shared" si="7"/>
        <v>10</v>
      </c>
      <c r="ED49">
        <f t="shared" si="7"/>
        <v>10</v>
      </c>
      <c r="EE49">
        <f t="shared" si="7"/>
        <v>10</v>
      </c>
      <c r="EF49">
        <f t="shared" si="6"/>
        <v>10</v>
      </c>
      <c r="EG49">
        <f t="shared" si="6"/>
        <v>10</v>
      </c>
    </row>
    <row r="50" spans="1:137" x14ac:dyDescent="0.25">
      <c r="A50" s="4" t="s">
        <v>87</v>
      </c>
    </row>
    <row r="51" spans="1:137" x14ac:dyDescent="0.25">
      <c r="A51" s="4"/>
    </row>
    <row r="52" spans="1:137" x14ac:dyDescent="0.25">
      <c r="A52" t="s">
        <v>16</v>
      </c>
    </row>
    <row r="53" spans="1:137" x14ac:dyDescent="0.25">
      <c r="B53" s="6" t="s">
        <v>17</v>
      </c>
    </row>
    <row r="54" spans="1:137" x14ac:dyDescent="0.25">
      <c r="B54" s="7" t="s">
        <v>19</v>
      </c>
    </row>
    <row r="55" spans="1:137" x14ac:dyDescent="0.25">
      <c r="B55" s="34" t="s">
        <v>18</v>
      </c>
    </row>
    <row r="56" spans="1:137" x14ac:dyDescent="0.25">
      <c r="A56" s="4" t="s">
        <v>20</v>
      </c>
      <c r="B56" s="33"/>
    </row>
    <row r="57" spans="1:137" x14ac:dyDescent="0.25">
      <c r="A57" s="4"/>
    </row>
    <row r="58" spans="1:137" x14ac:dyDescent="0.25">
      <c r="A58" s="4"/>
    </row>
    <row r="59" spans="1:137" x14ac:dyDescent="0.25">
      <c r="A59" s="4"/>
    </row>
    <row r="60" spans="1:137" x14ac:dyDescent="0.25">
      <c r="A60" s="4"/>
    </row>
    <row r="62" spans="1:137" x14ac:dyDescent="0.25">
      <c r="A62" t="s">
        <v>21</v>
      </c>
      <c r="B62">
        <v>60</v>
      </c>
    </row>
    <row r="63" spans="1:137" x14ac:dyDescent="0.25">
      <c r="A63" t="s">
        <v>22</v>
      </c>
      <c r="B63">
        <v>9</v>
      </c>
    </row>
    <row r="64" spans="1:137" x14ac:dyDescent="0.25">
      <c r="A64" t="s">
        <v>23</v>
      </c>
      <c r="B64">
        <v>27</v>
      </c>
    </row>
    <row r="65" spans="1:2" x14ac:dyDescent="0.25">
      <c r="A65" t="s">
        <v>24</v>
      </c>
      <c r="B65" s="9"/>
    </row>
    <row r="66" spans="1:2" x14ac:dyDescent="0.25">
      <c r="A66" t="s">
        <v>25</v>
      </c>
      <c r="B66" s="10"/>
    </row>
    <row r="67" spans="1:2" x14ac:dyDescent="0.25">
      <c r="A67" t="s">
        <v>26</v>
      </c>
      <c r="B67">
        <v>20</v>
      </c>
    </row>
    <row r="68" spans="1:2" x14ac:dyDescent="0.25">
      <c r="A68" t="s">
        <v>27</v>
      </c>
      <c r="B68" s="20"/>
    </row>
    <row r="69" spans="1:2" x14ac:dyDescent="0.25">
      <c r="A69" t="s">
        <v>28</v>
      </c>
      <c r="B69" s="11"/>
    </row>
    <row r="70" spans="1:2" x14ac:dyDescent="0.25">
      <c r="A70" t="s">
        <v>29</v>
      </c>
      <c r="B70" s="12"/>
    </row>
    <row r="71" spans="1:2" x14ac:dyDescent="0.25">
      <c r="A71" t="s">
        <v>30</v>
      </c>
      <c r="B71" s="13"/>
    </row>
    <row r="72" spans="1:2" x14ac:dyDescent="0.25">
      <c r="A72" t="s">
        <v>77</v>
      </c>
      <c r="B72" s="9"/>
    </row>
    <row r="73" spans="1:2" x14ac:dyDescent="0.25">
      <c r="A73" t="s">
        <v>78</v>
      </c>
      <c r="B73" s="8"/>
    </row>
    <row r="74" spans="1:2" x14ac:dyDescent="0.25">
      <c r="A74" t="s">
        <v>79</v>
      </c>
      <c r="B74" s="18"/>
    </row>
    <row r="75" spans="1:2" x14ac:dyDescent="0.25">
      <c r="A75" t="s">
        <v>80</v>
      </c>
      <c r="B75" s="19"/>
    </row>
    <row r="76" spans="1:2" x14ac:dyDescent="0.25">
      <c r="A76" t="s">
        <v>81</v>
      </c>
      <c r="B76" s="5"/>
    </row>
    <row r="77" spans="1:2" x14ac:dyDescent="0.25">
      <c r="A77" t="s">
        <v>93</v>
      </c>
      <c r="B77" s="24"/>
    </row>
    <row r="78" spans="1:2" x14ac:dyDescent="0.25">
      <c r="A78" t="s">
        <v>94</v>
      </c>
      <c r="B78" s="23"/>
    </row>
    <row r="79" spans="1:2" x14ac:dyDescent="0.25">
      <c r="A79" t="s">
        <v>95</v>
      </c>
      <c r="B79" s="25"/>
    </row>
    <row r="80" spans="1:2" x14ac:dyDescent="0.25">
      <c r="A80" t="s">
        <v>99</v>
      </c>
      <c r="B80" s="31"/>
    </row>
    <row r="81" spans="1:15" x14ac:dyDescent="0.25">
      <c r="A81" t="s">
        <v>96</v>
      </c>
      <c r="B81" s="32"/>
    </row>
    <row r="82" spans="1:15" x14ac:dyDescent="0.25">
      <c r="A82" t="s">
        <v>97</v>
      </c>
      <c r="B82" s="33"/>
    </row>
    <row r="83" spans="1:15" x14ac:dyDescent="0.25">
      <c r="A83" t="s">
        <v>98</v>
      </c>
      <c r="B83" s="10"/>
    </row>
    <row r="84" spans="1:15" x14ac:dyDescent="0.25">
      <c r="A84" t="s">
        <v>100</v>
      </c>
      <c r="B84" s="11"/>
    </row>
    <row r="85" spans="1:15" x14ac:dyDescent="0.25">
      <c r="A85" t="s">
        <v>82</v>
      </c>
      <c r="B85">
        <v>0</v>
      </c>
    </row>
    <row r="86" spans="1:15" x14ac:dyDescent="0.25">
      <c r="A86" t="s">
        <v>83</v>
      </c>
      <c r="B86" s="17">
        <v>39814</v>
      </c>
    </row>
    <row r="87" spans="1:15" x14ac:dyDescent="0.25">
      <c r="A87" t="s">
        <v>84</v>
      </c>
      <c r="B87" s="21" t="s">
        <v>92</v>
      </c>
    </row>
    <row r="88" spans="1:15" x14ac:dyDescent="0.25">
      <c r="A88" t="s">
        <v>106</v>
      </c>
      <c r="B88" s="21" t="s">
        <v>92</v>
      </c>
    </row>
    <row r="89" spans="1:15" x14ac:dyDescent="0.25">
      <c r="A89" t="s">
        <v>137</v>
      </c>
      <c r="B89" s="21" t="s">
        <v>138</v>
      </c>
      <c r="D89" t="s">
        <v>139</v>
      </c>
      <c r="N89" t="s">
        <v>176</v>
      </c>
    </row>
    <row r="90" spans="1:15" x14ac:dyDescent="0.25">
      <c r="A90" t="s">
        <v>85</v>
      </c>
      <c r="B90" s="21" t="s">
        <v>180</v>
      </c>
      <c r="D90" s="21" t="s">
        <v>86</v>
      </c>
      <c r="E90" s="21" t="s">
        <v>101</v>
      </c>
      <c r="F90" t="s">
        <v>102</v>
      </c>
      <c r="G90" t="s">
        <v>103</v>
      </c>
      <c r="H90" s="21" t="s">
        <v>104</v>
      </c>
      <c r="I90" s="21" t="s">
        <v>107</v>
      </c>
      <c r="J90" s="21" t="s">
        <v>108</v>
      </c>
      <c r="K90" s="21" t="s">
        <v>109</v>
      </c>
      <c r="L90" s="21" t="s">
        <v>111</v>
      </c>
      <c r="M90" s="21" t="s">
        <v>120</v>
      </c>
      <c r="N90" s="21" t="s">
        <v>175</v>
      </c>
      <c r="O90" s="21" t="s">
        <v>177</v>
      </c>
    </row>
    <row r="91" spans="1:15" x14ac:dyDescent="0.25">
      <c r="A91" t="s">
        <v>89</v>
      </c>
      <c r="B91" s="22">
        <v>50</v>
      </c>
      <c r="O91" t="s">
        <v>178</v>
      </c>
    </row>
    <row r="92" spans="1:15" x14ac:dyDescent="0.25">
      <c r="A92" t="s">
        <v>90</v>
      </c>
      <c r="B92" s="22">
        <v>30</v>
      </c>
    </row>
    <row r="93" spans="1:15" x14ac:dyDescent="0.25">
      <c r="A93" t="s">
        <v>91</v>
      </c>
      <c r="B93" s="22">
        <v>2.8</v>
      </c>
      <c r="D93">
        <v>3.4</v>
      </c>
    </row>
    <row r="94" spans="1:15" x14ac:dyDescent="0.25">
      <c r="A94" t="s">
        <v>105</v>
      </c>
      <c r="B94" s="29">
        <v>1</v>
      </c>
    </row>
    <row r="97" spans="1:2" x14ac:dyDescent="0.25">
      <c r="A97" t="s">
        <v>142</v>
      </c>
    </row>
    <row r="98" spans="1:2" x14ac:dyDescent="0.25">
      <c r="A98" t="s">
        <v>155</v>
      </c>
      <c r="B98" t="s">
        <v>144</v>
      </c>
    </row>
    <row r="99" spans="1:2" x14ac:dyDescent="0.25">
      <c r="A99" t="s">
        <v>155</v>
      </c>
      <c r="B99" t="s">
        <v>145</v>
      </c>
    </row>
    <row r="100" spans="1:2" x14ac:dyDescent="0.25">
      <c r="A100" t="s">
        <v>155</v>
      </c>
      <c r="B100" t="s">
        <v>147</v>
      </c>
    </row>
    <row r="101" spans="1:2" x14ac:dyDescent="0.25">
      <c r="A101" t="s">
        <v>155</v>
      </c>
      <c r="B101" t="s">
        <v>146</v>
      </c>
    </row>
    <row r="102" spans="1:2" x14ac:dyDescent="0.25">
      <c r="A102" t="s">
        <v>155</v>
      </c>
      <c r="B102" t="s">
        <v>148</v>
      </c>
    </row>
    <row r="103" spans="1:2" x14ac:dyDescent="0.25">
      <c r="A103" t="s">
        <v>155</v>
      </c>
      <c r="B103" t="s">
        <v>143</v>
      </c>
    </row>
    <row r="104" spans="1:2" x14ac:dyDescent="0.25">
      <c r="A104" t="s">
        <v>149</v>
      </c>
      <c r="B104" t="s">
        <v>121</v>
      </c>
    </row>
    <row r="105" spans="1:2" x14ac:dyDescent="0.25">
      <c r="A105" t="s">
        <v>149</v>
      </c>
      <c r="B105" t="s">
        <v>136</v>
      </c>
    </row>
    <row r="106" spans="1:2" x14ac:dyDescent="0.25">
      <c r="A106" t="s">
        <v>149</v>
      </c>
      <c r="B106" t="s">
        <v>122</v>
      </c>
    </row>
    <row r="107" spans="1:2" x14ac:dyDescent="0.25">
      <c r="A107" t="s">
        <v>149</v>
      </c>
      <c r="B107" t="s">
        <v>150</v>
      </c>
    </row>
    <row r="108" spans="1:2" x14ac:dyDescent="0.25">
      <c r="A108" t="s">
        <v>149</v>
      </c>
      <c r="B108" t="s">
        <v>151</v>
      </c>
    </row>
    <row r="109" spans="1:2" x14ac:dyDescent="0.25">
      <c r="A109" t="s">
        <v>149</v>
      </c>
      <c r="B109" t="s">
        <v>152</v>
      </c>
    </row>
    <row r="110" spans="1:2" x14ac:dyDescent="0.25">
      <c r="A110" t="s">
        <v>149</v>
      </c>
      <c r="B110" t="s">
        <v>153</v>
      </c>
    </row>
    <row r="111" spans="1:2" x14ac:dyDescent="0.25">
      <c r="A111" t="s">
        <v>149</v>
      </c>
      <c r="B111" t="s">
        <v>154</v>
      </c>
    </row>
    <row r="112" spans="1:2" x14ac:dyDescent="0.25">
      <c r="A112" t="s">
        <v>149</v>
      </c>
      <c r="B112" t="s">
        <v>128</v>
      </c>
    </row>
    <row r="113" spans="1:2" x14ac:dyDescent="0.25">
      <c r="A113" t="s">
        <v>149</v>
      </c>
      <c r="B113" t="s">
        <v>130</v>
      </c>
    </row>
    <row r="114" spans="1:2" x14ac:dyDescent="0.25">
      <c r="A114" s="4" t="s">
        <v>156</v>
      </c>
    </row>
  </sheetData>
  <dataConsolidate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BL51"/>
  <sheetViews>
    <sheetView defaultGridColor="0" colorId="22" workbookViewId="0">
      <pane ySplit="1" topLeftCell="A2" activePane="bottomLeft" state="frozenSplit"/>
      <selection pane="bottomLeft" activeCell="D25" sqref="D25"/>
    </sheetView>
  </sheetViews>
  <sheetFormatPr baseColWidth="10" defaultRowHeight="15" x14ac:dyDescent="0.25"/>
  <cols>
    <col min="1" max="2" width="20.7109375" customWidth="1"/>
    <col min="3" max="63" width="4.28515625" customWidth="1"/>
  </cols>
  <sheetData>
    <row r="1" spans="1:64" x14ac:dyDescent="0.25">
      <c r="A1" s="14" t="s">
        <v>31</v>
      </c>
      <c r="B1" s="14"/>
      <c r="C1" s="14">
        <v>1</v>
      </c>
      <c r="D1" s="14">
        <v>2</v>
      </c>
      <c r="E1" s="14">
        <v>3</v>
      </c>
      <c r="F1" s="14">
        <v>4</v>
      </c>
      <c r="G1" s="14">
        <v>5</v>
      </c>
      <c r="H1" s="14">
        <v>6</v>
      </c>
      <c r="I1" s="14">
        <v>7</v>
      </c>
      <c r="J1" s="14">
        <v>8</v>
      </c>
      <c r="K1" s="14">
        <v>9</v>
      </c>
      <c r="L1" s="14">
        <v>10</v>
      </c>
      <c r="M1" s="14">
        <v>11</v>
      </c>
      <c r="N1" s="14">
        <v>12</v>
      </c>
      <c r="O1" s="14">
        <v>13</v>
      </c>
      <c r="P1" s="14">
        <v>14</v>
      </c>
      <c r="Q1" s="14">
        <v>15</v>
      </c>
      <c r="R1" s="14">
        <v>16</v>
      </c>
      <c r="S1" s="14">
        <v>17</v>
      </c>
      <c r="T1" s="14">
        <v>18</v>
      </c>
      <c r="U1" s="14">
        <v>19</v>
      </c>
      <c r="V1" s="14">
        <v>20</v>
      </c>
      <c r="W1" s="14">
        <v>21</v>
      </c>
      <c r="X1" s="14">
        <v>22</v>
      </c>
      <c r="Y1" s="14">
        <v>23</v>
      </c>
      <c r="Z1" s="14">
        <v>24</v>
      </c>
      <c r="AA1" s="14">
        <v>25</v>
      </c>
      <c r="AB1" s="14">
        <v>26</v>
      </c>
      <c r="AC1" s="14">
        <v>27</v>
      </c>
      <c r="AD1" s="14">
        <v>28</v>
      </c>
      <c r="AE1" s="14">
        <v>29</v>
      </c>
      <c r="AF1" s="14">
        <v>30</v>
      </c>
      <c r="AG1" s="14">
        <v>31</v>
      </c>
      <c r="AH1" s="14">
        <v>32</v>
      </c>
      <c r="AI1" s="14">
        <v>33</v>
      </c>
      <c r="AJ1" s="14">
        <v>34</v>
      </c>
      <c r="AK1" s="14">
        <v>35</v>
      </c>
      <c r="AL1" s="14">
        <v>36</v>
      </c>
      <c r="AM1" s="14">
        <v>37</v>
      </c>
      <c r="AN1" s="14">
        <v>38</v>
      </c>
      <c r="AO1" s="14">
        <v>39</v>
      </c>
      <c r="AP1" s="14">
        <v>40</v>
      </c>
      <c r="AQ1" s="14">
        <v>41</v>
      </c>
      <c r="AR1" s="14">
        <v>42</v>
      </c>
      <c r="AS1" s="14">
        <v>43</v>
      </c>
      <c r="AT1" s="14">
        <v>44</v>
      </c>
      <c r="AU1" s="14">
        <v>45</v>
      </c>
      <c r="AV1" s="14">
        <v>46</v>
      </c>
      <c r="AW1" s="14">
        <v>47</v>
      </c>
      <c r="AX1" s="14">
        <v>48</v>
      </c>
      <c r="AY1" s="14">
        <v>49</v>
      </c>
      <c r="AZ1" s="14">
        <v>50</v>
      </c>
      <c r="BA1" s="14">
        <v>51</v>
      </c>
      <c r="BB1" s="14">
        <v>52</v>
      </c>
      <c r="BC1" s="14">
        <v>53</v>
      </c>
      <c r="BD1" s="14">
        <v>54</v>
      </c>
      <c r="BE1" s="14">
        <v>55</v>
      </c>
      <c r="BF1" s="14">
        <v>56</v>
      </c>
      <c r="BG1" s="14">
        <v>57</v>
      </c>
      <c r="BH1" s="14">
        <v>58</v>
      </c>
      <c r="BI1" s="14">
        <v>59</v>
      </c>
      <c r="BJ1" s="14">
        <v>60</v>
      </c>
      <c r="BK1" s="14"/>
      <c r="BL1" s="14"/>
    </row>
    <row r="2" spans="1:64" x14ac:dyDescent="0.25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4" x14ac:dyDescent="0.25">
      <c r="B3" s="15" t="s">
        <v>11</v>
      </c>
      <c r="C3" s="15">
        <v>1</v>
      </c>
      <c r="D3" s="15">
        <v>1</v>
      </c>
      <c r="E3" s="15">
        <v>1</v>
      </c>
      <c r="F3" s="15">
        <v>1</v>
      </c>
      <c r="G3" s="15">
        <v>1</v>
      </c>
      <c r="H3" s="15">
        <v>1</v>
      </c>
      <c r="I3" s="15">
        <v>1</v>
      </c>
      <c r="J3" s="15">
        <v>1</v>
      </c>
      <c r="K3" s="15">
        <v>1</v>
      </c>
      <c r="L3" s="15">
        <v>1</v>
      </c>
      <c r="M3" s="15">
        <v>1</v>
      </c>
      <c r="N3" s="15">
        <v>1</v>
      </c>
      <c r="O3" s="15">
        <v>1</v>
      </c>
      <c r="P3" s="15">
        <v>1</v>
      </c>
      <c r="Q3" s="15">
        <v>1</v>
      </c>
      <c r="R3" s="15">
        <v>1</v>
      </c>
      <c r="S3" s="15">
        <v>1</v>
      </c>
    </row>
    <row r="4" spans="1:64" x14ac:dyDescent="0.25">
      <c r="B4" s="15" t="s">
        <v>12</v>
      </c>
      <c r="C4" s="15">
        <v>1</v>
      </c>
      <c r="D4" s="15">
        <v>1</v>
      </c>
      <c r="E4" s="15">
        <v>1</v>
      </c>
      <c r="F4" s="15">
        <v>2</v>
      </c>
      <c r="G4" s="15">
        <v>2</v>
      </c>
      <c r="H4" s="15">
        <v>2</v>
      </c>
      <c r="I4" s="15">
        <v>2</v>
      </c>
      <c r="J4" s="15">
        <v>2</v>
      </c>
      <c r="K4" s="15">
        <v>2</v>
      </c>
      <c r="L4" s="15">
        <v>2</v>
      </c>
      <c r="M4" s="15">
        <v>2</v>
      </c>
      <c r="N4" s="15">
        <v>2</v>
      </c>
      <c r="O4" s="15">
        <v>2</v>
      </c>
      <c r="P4" s="15">
        <v>2</v>
      </c>
      <c r="Q4" s="15">
        <v>2</v>
      </c>
      <c r="R4" s="15">
        <v>2</v>
      </c>
      <c r="S4" s="15">
        <v>2</v>
      </c>
    </row>
    <row r="5" spans="1:64" x14ac:dyDescent="0.25"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64" ht="15.75" x14ac:dyDescent="0.25">
      <c r="A6" s="16" t="s">
        <v>5</v>
      </c>
      <c r="B6" s="15"/>
      <c r="C6" s="1"/>
      <c r="D6" s="1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64" x14ac:dyDescent="0.25">
      <c r="B7" s="15" t="s">
        <v>13</v>
      </c>
      <c r="C7" s="15">
        <v>3</v>
      </c>
      <c r="D7" s="15">
        <v>3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64" x14ac:dyDescent="0.25"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64" ht="15.75" x14ac:dyDescent="0.25">
      <c r="A9" s="16" t="s">
        <v>6</v>
      </c>
      <c r="B9" s="15"/>
      <c r="C9" s="15"/>
      <c r="D9" s="15"/>
      <c r="E9" s="1"/>
      <c r="F9" s="1"/>
      <c r="G9" s="1"/>
      <c r="H9" s="1"/>
      <c r="I9" s="1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64" x14ac:dyDescent="0.25">
      <c r="A10" s="15"/>
      <c r="B10" s="15" t="s">
        <v>13</v>
      </c>
      <c r="C10" s="15"/>
      <c r="D10" s="15"/>
      <c r="E10" s="15">
        <v>1.5</v>
      </c>
      <c r="F10" s="15">
        <v>1.5</v>
      </c>
      <c r="G10" s="15">
        <v>1.5</v>
      </c>
      <c r="H10" s="15">
        <v>1.5</v>
      </c>
      <c r="I10" s="15">
        <v>1.5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64" x14ac:dyDescent="0.2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64" ht="15.75" x14ac:dyDescent="0.25">
      <c r="A12" s="16" t="s">
        <v>7</v>
      </c>
      <c r="B12" s="15"/>
      <c r="C12" s="15"/>
      <c r="D12" s="15"/>
      <c r="E12" s="15"/>
      <c r="F12" s="15"/>
      <c r="G12" s="15"/>
      <c r="H12" s="15"/>
      <c r="I12" s="15"/>
      <c r="J12" s="1"/>
      <c r="K12" s="1"/>
      <c r="L12" s="1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64" x14ac:dyDescent="0.25">
      <c r="A13" s="15"/>
      <c r="B13" s="15" t="s">
        <v>13</v>
      </c>
      <c r="C13" s="15"/>
      <c r="D13" s="15"/>
      <c r="E13" s="15"/>
      <c r="F13" s="15"/>
      <c r="G13" s="15"/>
      <c r="H13" s="15"/>
      <c r="I13" s="15"/>
      <c r="J13" s="15">
        <v>3</v>
      </c>
      <c r="K13" s="15">
        <v>3</v>
      </c>
      <c r="L13" s="15">
        <v>3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64" x14ac:dyDescent="0.25">
      <c r="A14" s="15"/>
      <c r="B14" s="15" t="s">
        <v>14</v>
      </c>
      <c r="C14" s="15"/>
      <c r="D14" s="15"/>
      <c r="E14" s="15"/>
      <c r="F14" s="15"/>
      <c r="G14" s="15"/>
      <c r="H14" s="15"/>
      <c r="I14" s="15"/>
      <c r="J14" s="15">
        <v>3</v>
      </c>
      <c r="K14" s="15">
        <v>3</v>
      </c>
      <c r="L14" s="15">
        <v>3</v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64" x14ac:dyDescent="0.2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64" ht="15.75" x14ac:dyDescent="0.25">
      <c r="A16" s="16" t="s">
        <v>8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"/>
      <c r="N16" s="1"/>
      <c r="O16" s="1"/>
      <c r="P16" s="1"/>
      <c r="Q16" s="1"/>
      <c r="R16" s="1"/>
      <c r="S16" s="1"/>
      <c r="T16" s="15"/>
      <c r="U16" s="15"/>
      <c r="V16" s="15"/>
      <c r="W16" s="15"/>
      <c r="X16" s="15"/>
      <c r="Y16" s="15"/>
      <c r="Z16" s="15"/>
    </row>
    <row r="17" spans="1:26" x14ac:dyDescent="0.25">
      <c r="A17" s="15"/>
      <c r="B17" s="15" t="s">
        <v>13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>
        <v>1</v>
      </c>
      <c r="N17" s="15">
        <v>1</v>
      </c>
      <c r="O17" s="15">
        <v>1</v>
      </c>
      <c r="P17" s="15">
        <v>1</v>
      </c>
      <c r="Q17" s="15">
        <v>1</v>
      </c>
      <c r="R17" s="15">
        <v>1</v>
      </c>
      <c r="S17" s="15">
        <v>1</v>
      </c>
      <c r="T17" s="15"/>
      <c r="U17" s="15"/>
      <c r="V17" s="15"/>
      <c r="W17" s="15"/>
      <c r="X17" s="15"/>
      <c r="Y17" s="15"/>
      <c r="Z17" s="15"/>
    </row>
    <row r="18" spans="1:26" x14ac:dyDescent="0.25">
      <c r="A18" s="15"/>
      <c r="B18" s="15" t="s">
        <v>15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>
        <v>4</v>
      </c>
      <c r="N18" s="15">
        <v>4</v>
      </c>
      <c r="O18" s="15">
        <v>4</v>
      </c>
      <c r="P18" s="15">
        <v>4</v>
      </c>
      <c r="Q18" s="15">
        <v>4</v>
      </c>
      <c r="R18" s="15">
        <v>4</v>
      </c>
      <c r="S18" s="15">
        <v>4</v>
      </c>
      <c r="T18" s="15"/>
      <c r="U18" s="15"/>
      <c r="V18" s="15"/>
      <c r="W18" s="15"/>
      <c r="X18" s="15"/>
      <c r="Y18" s="15"/>
      <c r="Z18" s="15"/>
    </row>
    <row r="19" spans="1:26" x14ac:dyDescent="0.25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x14ac:dyDescent="0.25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x14ac:dyDescent="0.25">
      <c r="A22" s="2" t="s">
        <v>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26" x14ac:dyDescent="0.25">
      <c r="B23" s="15" t="s">
        <v>11</v>
      </c>
      <c r="C23" s="15">
        <v>1</v>
      </c>
      <c r="D23" s="15">
        <v>1</v>
      </c>
      <c r="E23" s="15">
        <v>1</v>
      </c>
      <c r="F23" s="15">
        <v>1</v>
      </c>
      <c r="G23" s="15">
        <v>1</v>
      </c>
      <c r="H23" s="15">
        <v>1</v>
      </c>
      <c r="I23" s="15">
        <v>1</v>
      </c>
      <c r="J23" s="15">
        <v>1</v>
      </c>
      <c r="K23" s="15">
        <v>1</v>
      </c>
      <c r="L23" s="15">
        <v>1</v>
      </c>
      <c r="M23" s="15">
        <v>1</v>
      </c>
      <c r="N23" s="15">
        <v>1</v>
      </c>
    </row>
    <row r="24" spans="1:26" x14ac:dyDescent="0.25">
      <c r="B24" s="15" t="s">
        <v>12</v>
      </c>
      <c r="C24" s="15">
        <v>1</v>
      </c>
      <c r="D24" s="15">
        <v>1</v>
      </c>
      <c r="E24" s="15">
        <v>1</v>
      </c>
      <c r="F24" s="15">
        <v>2</v>
      </c>
      <c r="G24" s="15">
        <v>2</v>
      </c>
      <c r="H24" s="15">
        <v>2</v>
      </c>
      <c r="I24" s="15">
        <v>2</v>
      </c>
      <c r="J24" s="15">
        <v>2</v>
      </c>
      <c r="K24" s="15">
        <v>2</v>
      </c>
      <c r="L24" s="15">
        <v>2</v>
      </c>
      <c r="M24" s="15">
        <v>2</v>
      </c>
      <c r="N24" s="15">
        <v>2</v>
      </c>
    </row>
    <row r="25" spans="1:26" x14ac:dyDescent="0.25">
      <c r="B25" s="15"/>
      <c r="C25" s="15"/>
      <c r="D25" s="15"/>
      <c r="E25" s="15"/>
      <c r="F25" s="15"/>
    </row>
    <row r="26" spans="1:26" ht="15.75" x14ac:dyDescent="0.25">
      <c r="A26" s="16" t="s">
        <v>6</v>
      </c>
      <c r="B26" s="15"/>
      <c r="C26" s="2"/>
      <c r="D26" s="2"/>
      <c r="E26" s="2"/>
      <c r="K26" s="15"/>
      <c r="L26" s="15"/>
      <c r="M26" s="15"/>
      <c r="N26" s="15"/>
      <c r="O26" s="15"/>
      <c r="P26" s="15"/>
      <c r="Q26" s="15"/>
      <c r="R26" s="15"/>
      <c r="S26" s="15"/>
    </row>
    <row r="27" spans="1:26" x14ac:dyDescent="0.25">
      <c r="A27" s="15"/>
      <c r="B27" s="15" t="s">
        <v>13</v>
      </c>
      <c r="C27" s="15">
        <v>1.5</v>
      </c>
      <c r="D27" s="15">
        <v>1.5</v>
      </c>
      <c r="E27" s="15">
        <v>1.5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</row>
    <row r="28" spans="1:26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</row>
    <row r="29" spans="1:26" ht="15.75" x14ac:dyDescent="0.25">
      <c r="A29" s="16" t="s">
        <v>7</v>
      </c>
      <c r="B29" s="15"/>
      <c r="C29" s="15"/>
      <c r="D29" s="15"/>
      <c r="E29" s="15"/>
      <c r="F29" s="2"/>
      <c r="G29" s="2"/>
      <c r="H29" s="2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</row>
    <row r="30" spans="1:26" x14ac:dyDescent="0.25">
      <c r="A30" s="15"/>
      <c r="B30" s="15" t="s">
        <v>13</v>
      </c>
      <c r="C30" s="15"/>
      <c r="D30" s="15"/>
      <c r="E30" s="15"/>
      <c r="F30" s="15">
        <v>3</v>
      </c>
      <c r="G30" s="15">
        <v>3</v>
      </c>
      <c r="H30" s="15">
        <v>3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</row>
    <row r="31" spans="1:26" x14ac:dyDescent="0.25">
      <c r="A31" s="15"/>
      <c r="B31" s="15" t="s">
        <v>14</v>
      </c>
      <c r="C31" s="15"/>
      <c r="D31" s="15"/>
      <c r="E31" s="15"/>
      <c r="F31" s="15">
        <v>3</v>
      </c>
      <c r="G31" s="15">
        <v>3</v>
      </c>
      <c r="H31" s="15">
        <v>3</v>
      </c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</row>
    <row r="32" spans="1:26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</row>
    <row r="33" spans="1:32" ht="15.75" x14ac:dyDescent="0.25">
      <c r="A33" s="16" t="s">
        <v>8</v>
      </c>
      <c r="B33" s="15"/>
      <c r="C33" s="15"/>
      <c r="D33" s="15"/>
      <c r="E33" s="15"/>
      <c r="F33" s="15"/>
      <c r="G33" s="15"/>
      <c r="H33" s="15"/>
      <c r="I33" s="2"/>
      <c r="J33" s="2"/>
      <c r="K33" s="2"/>
      <c r="L33" s="2"/>
      <c r="M33" s="2"/>
      <c r="N33" s="2"/>
      <c r="O33" s="15"/>
      <c r="P33" s="15"/>
      <c r="Q33" s="15"/>
      <c r="R33" s="15"/>
      <c r="S33" s="15"/>
    </row>
    <row r="34" spans="1:32" x14ac:dyDescent="0.25">
      <c r="A34" s="15"/>
      <c r="B34" s="15" t="s">
        <v>13</v>
      </c>
      <c r="C34" s="15"/>
      <c r="D34" s="15"/>
      <c r="E34" s="15"/>
      <c r="F34" s="15"/>
      <c r="G34" s="15"/>
      <c r="H34" s="15"/>
      <c r="I34" s="15">
        <v>1</v>
      </c>
      <c r="J34" s="15">
        <v>1</v>
      </c>
      <c r="K34" s="15">
        <v>1</v>
      </c>
      <c r="L34" s="15">
        <v>1</v>
      </c>
      <c r="M34" s="15">
        <v>1</v>
      </c>
      <c r="N34" s="15">
        <v>1</v>
      </c>
      <c r="O34" s="15"/>
      <c r="P34" s="15"/>
      <c r="Q34" s="15"/>
      <c r="R34" s="15"/>
      <c r="S34" s="15"/>
    </row>
    <row r="35" spans="1:32" x14ac:dyDescent="0.25">
      <c r="A35" s="15"/>
      <c r="B35" s="15" t="s">
        <v>15</v>
      </c>
      <c r="C35" s="15"/>
      <c r="D35" s="15"/>
      <c r="E35" s="15"/>
      <c r="F35" s="15"/>
      <c r="G35" s="15"/>
      <c r="H35" s="15"/>
      <c r="I35" s="15">
        <v>4</v>
      </c>
      <c r="J35" s="15">
        <v>4</v>
      </c>
      <c r="K35" s="15">
        <v>4</v>
      </c>
      <c r="L35" s="15">
        <v>4</v>
      </c>
      <c r="M35" s="15">
        <v>4</v>
      </c>
      <c r="N35" s="15">
        <v>4</v>
      </c>
      <c r="O35" s="15"/>
      <c r="P35" s="15"/>
      <c r="Q35" s="15"/>
      <c r="R35" s="15"/>
      <c r="S35" s="15"/>
    </row>
    <row r="36" spans="1:32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32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9" spans="1:32" x14ac:dyDescent="0.25">
      <c r="A39" s="3" t="s">
        <v>4</v>
      </c>
      <c r="C39" s="3"/>
      <c r="D39" s="3"/>
      <c r="E39" s="3"/>
      <c r="F39" s="3"/>
      <c r="G39" s="3"/>
      <c r="H39" s="3"/>
      <c r="I39" s="3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</row>
    <row r="40" spans="1:32" x14ac:dyDescent="0.25">
      <c r="B40" s="15" t="s">
        <v>11</v>
      </c>
      <c r="C40" s="15">
        <v>1</v>
      </c>
      <c r="D40" s="15">
        <v>1</v>
      </c>
      <c r="E40" s="15">
        <v>1</v>
      </c>
      <c r="F40" s="15">
        <v>1</v>
      </c>
      <c r="G40" s="15">
        <v>1</v>
      </c>
      <c r="H40" s="15">
        <v>1</v>
      </c>
      <c r="I40" s="15">
        <v>1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</row>
    <row r="41" spans="1:32" x14ac:dyDescent="0.25">
      <c r="B41" s="15" t="s">
        <v>12</v>
      </c>
      <c r="C41" s="15">
        <v>2</v>
      </c>
      <c r="D41" s="15">
        <v>2</v>
      </c>
      <c r="E41" s="15">
        <v>2</v>
      </c>
      <c r="F41" s="15">
        <v>2</v>
      </c>
      <c r="G41" s="15">
        <v>2</v>
      </c>
      <c r="H41" s="15">
        <v>2</v>
      </c>
      <c r="I41" s="15">
        <v>2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</row>
    <row r="43" spans="1:32" ht="15.75" x14ac:dyDescent="0.25">
      <c r="A43" s="16" t="s">
        <v>7</v>
      </c>
      <c r="B43" s="15"/>
      <c r="C43" s="3"/>
      <c r="D43" s="3"/>
      <c r="E43" s="15"/>
      <c r="F43" s="15"/>
      <c r="G43" s="15"/>
      <c r="H43" s="15"/>
      <c r="I43" s="15"/>
      <c r="J43" s="15"/>
      <c r="K43" s="15"/>
      <c r="L43" s="15"/>
      <c r="M43" s="15"/>
      <c r="N43" s="15"/>
    </row>
    <row r="44" spans="1:32" x14ac:dyDescent="0.25">
      <c r="A44" s="15"/>
      <c r="B44" s="15" t="s">
        <v>13</v>
      </c>
      <c r="C44" s="15">
        <v>3</v>
      </c>
      <c r="D44" s="15">
        <v>3</v>
      </c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32" x14ac:dyDescent="0.25">
      <c r="A45" s="15"/>
      <c r="B45" s="15" t="s">
        <v>14</v>
      </c>
      <c r="C45" s="15">
        <v>3</v>
      </c>
      <c r="D45" s="15">
        <v>3</v>
      </c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32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32" ht="15.75" x14ac:dyDescent="0.25">
      <c r="A47" s="16" t="s">
        <v>8</v>
      </c>
      <c r="B47" s="15"/>
      <c r="C47" s="15"/>
      <c r="D47" s="15"/>
      <c r="E47" s="3"/>
      <c r="F47" s="3"/>
      <c r="G47" s="3"/>
      <c r="H47" s="3"/>
      <c r="I47" s="3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32" x14ac:dyDescent="0.25">
      <c r="B48" s="15" t="s">
        <v>13</v>
      </c>
      <c r="C48" s="15"/>
      <c r="D48" s="15"/>
      <c r="E48" s="15">
        <v>1</v>
      </c>
      <c r="F48" s="15">
        <v>1</v>
      </c>
      <c r="G48" s="15">
        <v>1</v>
      </c>
      <c r="H48" s="15">
        <v>1</v>
      </c>
      <c r="I48" s="15">
        <v>1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x14ac:dyDescent="0.25">
      <c r="A49" s="15"/>
      <c r="B49" s="15" t="s">
        <v>15</v>
      </c>
      <c r="C49" s="15"/>
      <c r="D49" s="15"/>
      <c r="E49" s="15">
        <v>4</v>
      </c>
      <c r="F49" s="15">
        <v>4</v>
      </c>
      <c r="G49" s="15">
        <v>4</v>
      </c>
      <c r="H49" s="15">
        <v>4</v>
      </c>
      <c r="I49" s="15">
        <v>4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x14ac:dyDescent="0.25">
      <c r="A50" s="15"/>
      <c r="C50" s="15"/>
      <c r="D50" s="15"/>
      <c r="E50" s="15"/>
      <c r="F50" s="15"/>
      <c r="G50" s="15"/>
      <c r="H50" s="15"/>
    </row>
    <row r="51" spans="1:26" x14ac:dyDescent="0.25">
      <c r="O51" s="15"/>
      <c r="P51" s="15"/>
      <c r="Q51" s="15"/>
      <c r="R51" s="15"/>
      <c r="S51" s="15"/>
      <c r="T51" s="15"/>
    </row>
  </sheetData>
  <dataConsolidate/>
  <pageMargins left="0.7" right="0.7" top="0.78740157499999996" bottom="0.78740157499999996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BJ42"/>
  <sheetViews>
    <sheetView workbookViewId="0">
      <selection activeCell="A34" sqref="A34:A43"/>
    </sheetView>
  </sheetViews>
  <sheetFormatPr baseColWidth="10" defaultRowHeight="15" x14ac:dyDescent="0.25"/>
  <cols>
    <col min="1" max="2" width="20.7109375" customWidth="1"/>
    <col min="3" max="62" width="4.28515625" customWidth="1"/>
  </cols>
  <sheetData>
    <row r="1" spans="1:62" x14ac:dyDescent="0.25">
      <c r="A1" s="14" t="s">
        <v>31</v>
      </c>
      <c r="B1" s="14"/>
      <c r="C1" s="14">
        <v>1</v>
      </c>
      <c r="D1" s="14">
        <v>2</v>
      </c>
      <c r="E1" s="14">
        <v>3</v>
      </c>
      <c r="F1" s="14">
        <v>4</v>
      </c>
      <c r="G1" s="14">
        <v>5</v>
      </c>
      <c r="H1" s="14">
        <v>6</v>
      </c>
      <c r="I1" s="14">
        <v>7</v>
      </c>
      <c r="J1" s="14">
        <v>8</v>
      </c>
      <c r="K1" s="14">
        <v>9</v>
      </c>
      <c r="L1" s="14">
        <v>10</v>
      </c>
      <c r="M1" s="14">
        <v>11</v>
      </c>
      <c r="N1" s="14">
        <v>12</v>
      </c>
      <c r="O1" s="14">
        <v>13</v>
      </c>
      <c r="P1" s="14">
        <v>14</v>
      </c>
      <c r="Q1" s="14">
        <v>15</v>
      </c>
      <c r="R1" s="14">
        <v>16</v>
      </c>
      <c r="S1" s="14">
        <v>17</v>
      </c>
      <c r="T1" s="14">
        <v>18</v>
      </c>
      <c r="U1" s="14">
        <v>19</v>
      </c>
      <c r="V1" s="14">
        <v>20</v>
      </c>
      <c r="W1" s="14">
        <v>21</v>
      </c>
      <c r="X1" s="14">
        <v>22</v>
      </c>
      <c r="Y1" s="14">
        <v>23</v>
      </c>
      <c r="Z1" s="14">
        <v>24</v>
      </c>
      <c r="AA1" s="14">
        <v>25</v>
      </c>
      <c r="AB1" s="14">
        <v>26</v>
      </c>
      <c r="AC1" s="14">
        <v>27</v>
      </c>
      <c r="AD1" s="14">
        <v>28</v>
      </c>
      <c r="AE1" s="14">
        <v>29</v>
      </c>
      <c r="AF1" s="14">
        <v>30</v>
      </c>
      <c r="AG1" s="14">
        <v>31</v>
      </c>
      <c r="AH1" s="14">
        <v>32</v>
      </c>
      <c r="AI1" s="14">
        <v>33</v>
      </c>
      <c r="AJ1" s="14">
        <v>34</v>
      </c>
      <c r="AK1" s="14">
        <v>35</v>
      </c>
      <c r="AL1" s="14">
        <v>36</v>
      </c>
      <c r="AM1" s="14">
        <v>37</v>
      </c>
      <c r="AN1" s="14">
        <v>38</v>
      </c>
      <c r="AO1" s="14">
        <v>39</v>
      </c>
      <c r="AP1" s="14">
        <v>40</v>
      </c>
      <c r="AQ1" s="14">
        <v>41</v>
      </c>
      <c r="AR1" s="14">
        <v>42</v>
      </c>
      <c r="AS1" s="14">
        <v>43</v>
      </c>
      <c r="AT1" s="14">
        <v>44</v>
      </c>
      <c r="AU1" s="14">
        <v>45</v>
      </c>
      <c r="AV1" s="14">
        <v>46</v>
      </c>
      <c r="AW1" s="14">
        <v>47</v>
      </c>
      <c r="AX1" s="14">
        <v>48</v>
      </c>
      <c r="AY1" s="14">
        <v>49</v>
      </c>
      <c r="AZ1" s="14">
        <v>50</v>
      </c>
      <c r="BA1" s="14">
        <v>51</v>
      </c>
      <c r="BB1" s="14">
        <v>52</v>
      </c>
      <c r="BC1" s="14">
        <v>53</v>
      </c>
      <c r="BD1" s="14">
        <v>54</v>
      </c>
      <c r="BE1" s="14">
        <v>55</v>
      </c>
      <c r="BF1" s="14">
        <v>56</v>
      </c>
      <c r="BG1" s="14">
        <v>57</v>
      </c>
      <c r="BH1" s="14">
        <v>58</v>
      </c>
      <c r="BI1" s="14">
        <v>59</v>
      </c>
      <c r="BJ1" s="14">
        <v>60</v>
      </c>
    </row>
    <row r="2" spans="1:62" x14ac:dyDescent="0.25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2" x14ac:dyDescent="0.25">
      <c r="B3" s="15" t="s">
        <v>19</v>
      </c>
      <c r="C3" s="15">
        <v>1</v>
      </c>
      <c r="D3" s="15">
        <v>1</v>
      </c>
      <c r="E3" s="15">
        <v>1</v>
      </c>
      <c r="F3" s="15">
        <v>1</v>
      </c>
      <c r="G3" s="15">
        <v>2</v>
      </c>
      <c r="H3" s="15">
        <v>2</v>
      </c>
      <c r="I3" s="15">
        <v>2</v>
      </c>
      <c r="J3" s="15">
        <v>4</v>
      </c>
      <c r="K3" s="15">
        <v>4</v>
      </c>
      <c r="L3" s="15">
        <v>4</v>
      </c>
      <c r="M3" s="15">
        <v>4</v>
      </c>
      <c r="N3" s="15">
        <v>4</v>
      </c>
      <c r="O3" s="15">
        <v>4</v>
      </c>
      <c r="P3" s="15">
        <v>2</v>
      </c>
      <c r="Q3" s="15">
        <v>2</v>
      </c>
      <c r="R3" s="15">
        <v>1</v>
      </c>
      <c r="S3" s="15">
        <v>1</v>
      </c>
    </row>
    <row r="4" spans="1:62" x14ac:dyDescent="0.25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62" x14ac:dyDescent="0.25">
      <c r="A5" s="15" t="s">
        <v>32</v>
      </c>
      <c r="B5" s="15"/>
      <c r="C5" s="1"/>
      <c r="D5" s="1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62" x14ac:dyDescent="0.25">
      <c r="B6" s="15" t="s">
        <v>19</v>
      </c>
      <c r="C6" s="15">
        <v>1</v>
      </c>
      <c r="D6" s="15">
        <v>2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62" x14ac:dyDescent="0.25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62" x14ac:dyDescent="0.25">
      <c r="A8" s="15" t="s">
        <v>33</v>
      </c>
      <c r="B8" s="15"/>
      <c r="C8" s="15"/>
      <c r="D8" s="15"/>
      <c r="E8" s="1"/>
      <c r="F8" s="1"/>
      <c r="G8" s="1"/>
      <c r="H8" s="1"/>
      <c r="I8" s="1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62" x14ac:dyDescent="0.25">
      <c r="A9" s="15"/>
      <c r="B9" s="15" t="s">
        <v>18</v>
      </c>
      <c r="C9" s="15"/>
      <c r="D9" s="15"/>
      <c r="E9" s="15">
        <v>20</v>
      </c>
      <c r="F9" s="15">
        <v>20</v>
      </c>
      <c r="G9" s="15">
        <v>20</v>
      </c>
      <c r="H9" s="15">
        <v>20</v>
      </c>
      <c r="I9" s="15">
        <v>20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62" x14ac:dyDescent="0.25">
      <c r="A10" s="15"/>
      <c r="B10" s="15" t="s">
        <v>19</v>
      </c>
      <c r="C10" s="15"/>
      <c r="D10" s="15"/>
      <c r="E10" s="15">
        <v>2</v>
      </c>
      <c r="F10" s="15">
        <v>2</v>
      </c>
      <c r="G10" s="15">
        <v>2</v>
      </c>
      <c r="H10" s="15">
        <v>2</v>
      </c>
      <c r="I10" s="15">
        <v>2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62" x14ac:dyDescent="0.2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62" x14ac:dyDescent="0.25">
      <c r="A12" s="15" t="s">
        <v>34</v>
      </c>
      <c r="B12" s="15"/>
      <c r="C12" s="15"/>
      <c r="D12" s="15"/>
      <c r="E12" s="15"/>
      <c r="F12" s="15"/>
      <c r="G12" s="15"/>
      <c r="H12" s="15"/>
      <c r="I12" s="15"/>
      <c r="J12" s="1"/>
      <c r="K12" s="1"/>
      <c r="L12" s="1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62" x14ac:dyDescent="0.25">
      <c r="A13" s="15"/>
      <c r="B13" s="15" t="s">
        <v>18</v>
      </c>
      <c r="C13" s="15"/>
      <c r="D13" s="15"/>
      <c r="E13" s="15"/>
      <c r="F13" s="15"/>
      <c r="G13" s="15"/>
      <c r="H13" s="15"/>
      <c r="I13" s="15"/>
      <c r="J13" s="15">
        <v>10</v>
      </c>
      <c r="K13" s="15">
        <v>10</v>
      </c>
      <c r="L13" s="15">
        <v>10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62" x14ac:dyDescent="0.2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62" x14ac:dyDescent="0.25">
      <c r="A15" s="15" t="s">
        <v>35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"/>
      <c r="N15" s="1"/>
      <c r="O15" s="1"/>
      <c r="P15" s="1"/>
      <c r="Q15" s="1"/>
      <c r="R15" s="1"/>
      <c r="S15" s="1"/>
      <c r="T15" s="15"/>
      <c r="U15" s="15"/>
      <c r="V15" s="15"/>
      <c r="W15" s="15"/>
      <c r="X15" s="15"/>
      <c r="Y15" s="15"/>
      <c r="Z15" s="15"/>
    </row>
    <row r="16" spans="1:62" x14ac:dyDescent="0.25">
      <c r="A16" s="15"/>
      <c r="B16" s="15" t="s">
        <v>17</v>
      </c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>
        <v>2</v>
      </c>
      <c r="N16" s="15">
        <v>2</v>
      </c>
      <c r="O16" s="15">
        <v>2</v>
      </c>
      <c r="P16" s="15">
        <v>2</v>
      </c>
      <c r="Q16" s="15">
        <v>2</v>
      </c>
      <c r="R16" s="15">
        <v>2</v>
      </c>
      <c r="S16" s="15">
        <v>2</v>
      </c>
      <c r="T16" s="15"/>
      <c r="U16" s="15"/>
      <c r="V16" s="15"/>
      <c r="W16" s="15"/>
      <c r="X16" s="15"/>
      <c r="Y16" s="15"/>
      <c r="Z16" s="15"/>
    </row>
    <row r="17" spans="1:26" x14ac:dyDescent="0.25">
      <c r="A17" s="15"/>
      <c r="B17" s="15" t="s">
        <v>19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>
        <v>5</v>
      </c>
      <c r="N17" s="15">
        <v>5</v>
      </c>
      <c r="O17" s="15">
        <v>5</v>
      </c>
      <c r="P17" s="15">
        <v>5</v>
      </c>
      <c r="Q17" s="15">
        <v>5</v>
      </c>
      <c r="R17" s="15">
        <v>5</v>
      </c>
      <c r="S17" s="15">
        <v>5</v>
      </c>
      <c r="T17" s="15"/>
      <c r="U17" s="15"/>
      <c r="V17" s="15"/>
      <c r="W17" s="15"/>
      <c r="X17" s="15"/>
      <c r="Y17" s="15"/>
      <c r="Z17" s="15"/>
    </row>
    <row r="18" spans="1:26" x14ac:dyDescent="0.25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x14ac:dyDescent="0.25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x14ac:dyDescent="0.25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x14ac:dyDescent="0.25">
      <c r="A21" s="2" t="s">
        <v>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26" x14ac:dyDescent="0.25">
      <c r="B22" s="15"/>
      <c r="C22" s="15"/>
      <c r="D22" s="15"/>
      <c r="E22" s="15"/>
      <c r="F22" s="15"/>
    </row>
    <row r="23" spans="1:26" x14ac:dyDescent="0.25">
      <c r="A23" s="15" t="s">
        <v>33</v>
      </c>
      <c r="B23" s="15"/>
      <c r="C23" s="2"/>
      <c r="D23" s="2"/>
      <c r="E23" s="2"/>
      <c r="F23" s="15"/>
    </row>
    <row r="24" spans="1:26" x14ac:dyDescent="0.25">
      <c r="A24" s="15"/>
      <c r="B24" s="15" t="s">
        <v>18</v>
      </c>
      <c r="C24" s="15">
        <v>20</v>
      </c>
      <c r="D24" s="15">
        <v>20</v>
      </c>
      <c r="E24" s="15">
        <v>20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x14ac:dyDescent="0.25">
      <c r="A26" s="15" t="s">
        <v>34</v>
      </c>
      <c r="B26" s="15"/>
      <c r="C26" s="15"/>
      <c r="D26" s="15"/>
      <c r="E26" s="15"/>
      <c r="F26" s="2"/>
      <c r="G26" s="2"/>
      <c r="H26" s="2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x14ac:dyDescent="0.25">
      <c r="A27" s="15"/>
      <c r="B27" s="15" t="s">
        <v>18</v>
      </c>
      <c r="C27" s="15"/>
      <c r="D27" s="15"/>
      <c r="E27" s="15"/>
      <c r="F27" s="15">
        <v>10</v>
      </c>
      <c r="G27" s="15">
        <v>10</v>
      </c>
      <c r="H27" s="15">
        <v>10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x14ac:dyDescent="0.25">
      <c r="A29" s="15" t="s">
        <v>35</v>
      </c>
      <c r="B29" s="15"/>
      <c r="C29" s="15"/>
      <c r="D29" s="15"/>
      <c r="E29" s="15"/>
      <c r="F29" s="15"/>
      <c r="G29" s="15"/>
      <c r="H29" s="15"/>
      <c r="I29" s="2"/>
      <c r="J29" s="2"/>
      <c r="K29" s="2"/>
      <c r="L29" s="2"/>
      <c r="M29" s="2"/>
      <c r="N29" s="2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x14ac:dyDescent="0.25">
      <c r="A30" s="15"/>
      <c r="B30" s="15" t="s">
        <v>17</v>
      </c>
      <c r="C30" s="15"/>
      <c r="D30" s="15"/>
      <c r="E30" s="15"/>
      <c r="F30" s="15"/>
      <c r="G30" s="15"/>
      <c r="H30" s="15"/>
      <c r="I30" s="15">
        <v>2</v>
      </c>
      <c r="J30" s="15">
        <v>2</v>
      </c>
      <c r="K30" s="15">
        <v>2</v>
      </c>
      <c r="L30" s="15">
        <v>2</v>
      </c>
      <c r="M30" s="15">
        <v>2</v>
      </c>
      <c r="N30" s="15">
        <v>2</v>
      </c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4" spans="1:32" x14ac:dyDescent="0.25">
      <c r="A34" s="3" t="s">
        <v>4</v>
      </c>
      <c r="C34" s="3"/>
      <c r="D34" s="3"/>
      <c r="E34" s="3"/>
      <c r="F34" s="3"/>
      <c r="G34" s="3"/>
      <c r="H34" s="3"/>
      <c r="I34" s="3"/>
    </row>
    <row r="35" spans="1:32" x14ac:dyDescent="0.25">
      <c r="B35" s="15" t="s">
        <v>19</v>
      </c>
      <c r="C35" s="15">
        <v>2</v>
      </c>
      <c r="D35" s="15">
        <v>2</v>
      </c>
      <c r="E35" s="15">
        <v>2</v>
      </c>
      <c r="F35" s="15">
        <v>2</v>
      </c>
      <c r="G35" s="15">
        <v>2</v>
      </c>
      <c r="H35" s="15">
        <v>2</v>
      </c>
      <c r="I35" s="15">
        <v>2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</row>
    <row r="37" spans="1:32" x14ac:dyDescent="0.25">
      <c r="A37" s="15" t="s">
        <v>34</v>
      </c>
      <c r="C37" s="3"/>
      <c r="D37" s="3"/>
    </row>
    <row r="38" spans="1:32" x14ac:dyDescent="0.25">
      <c r="B38" s="15" t="s">
        <v>18</v>
      </c>
      <c r="C38" s="15">
        <v>10</v>
      </c>
      <c r="D38" s="15">
        <v>10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32" x14ac:dyDescent="0.25">
      <c r="B39" s="15"/>
    </row>
    <row r="40" spans="1:32" x14ac:dyDescent="0.25">
      <c r="A40" s="15" t="s">
        <v>35</v>
      </c>
      <c r="B40" s="15"/>
      <c r="E40" s="3"/>
      <c r="F40" s="3"/>
      <c r="G40" s="3"/>
      <c r="H40" s="3"/>
      <c r="I40" s="3"/>
    </row>
    <row r="41" spans="1:32" x14ac:dyDescent="0.25">
      <c r="A41" s="15"/>
      <c r="B41" s="15" t="s">
        <v>17</v>
      </c>
      <c r="C41" s="15"/>
      <c r="D41" s="15"/>
      <c r="E41" s="15">
        <v>2</v>
      </c>
      <c r="F41" s="15">
        <v>2</v>
      </c>
      <c r="G41" s="15">
        <v>2</v>
      </c>
      <c r="H41" s="15">
        <v>4</v>
      </c>
      <c r="I41" s="15">
        <v>4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32" x14ac:dyDescent="0.25">
      <c r="A42" s="15"/>
      <c r="B42" s="15" t="s">
        <v>19</v>
      </c>
      <c r="C42" s="15"/>
      <c r="D42" s="15"/>
      <c r="E42" s="15">
        <v>0.5</v>
      </c>
      <c r="F42" s="15">
        <v>0.5</v>
      </c>
      <c r="G42" s="15">
        <v>0.5</v>
      </c>
      <c r="H42" s="15">
        <v>0.5</v>
      </c>
      <c r="I42" s="15">
        <v>0.5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</row>
  </sheetData>
  <dataConsolidate/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A1:H32"/>
  <sheetViews>
    <sheetView showRowColHeaders="0" workbookViewId="0">
      <selection activeCell="A2" sqref="A2"/>
    </sheetView>
  </sheetViews>
  <sheetFormatPr baseColWidth="10" defaultRowHeight="15" x14ac:dyDescent="0.25"/>
  <cols>
    <col min="1" max="1" width="17.5703125" customWidth="1"/>
    <col min="2" max="2" width="18.5703125" customWidth="1"/>
    <col min="3" max="3" width="15.85546875" customWidth="1"/>
    <col min="4" max="4" width="17.42578125" customWidth="1"/>
    <col min="5" max="5" width="15.28515625" customWidth="1"/>
    <col min="6" max="6" width="16.28515625" customWidth="1"/>
    <col min="7" max="7" width="15.7109375" customWidth="1"/>
    <col min="8" max="8" width="25.5703125" customWidth="1"/>
  </cols>
  <sheetData>
    <row r="1" spans="1: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x14ac:dyDescent="0.25">
      <c r="A2" t="s">
        <v>44</v>
      </c>
      <c r="B2" t="s">
        <v>2</v>
      </c>
      <c r="C2" s="17">
        <v>40969</v>
      </c>
      <c r="D2">
        <v>17</v>
      </c>
      <c r="E2">
        <v>0.24</v>
      </c>
      <c r="F2">
        <v>6.1</v>
      </c>
      <c r="G2">
        <v>6.6</v>
      </c>
      <c r="H2" t="s">
        <v>45</v>
      </c>
    </row>
    <row r="3" spans="1:8" x14ac:dyDescent="0.25">
      <c r="A3" t="s">
        <v>58</v>
      </c>
      <c r="B3" t="s">
        <v>2</v>
      </c>
      <c r="C3" s="17">
        <v>41000</v>
      </c>
      <c r="D3">
        <v>17</v>
      </c>
      <c r="E3">
        <v>0.17400000000000002</v>
      </c>
      <c r="F3">
        <v>3.5</v>
      </c>
      <c r="G3">
        <v>6.2</v>
      </c>
      <c r="H3" t="s">
        <v>45</v>
      </c>
    </row>
    <row r="4" spans="1:8" x14ac:dyDescent="0.25">
      <c r="A4" t="s">
        <v>46</v>
      </c>
      <c r="B4" t="s">
        <v>2</v>
      </c>
      <c r="C4" s="17">
        <v>41214</v>
      </c>
      <c r="D4">
        <v>17</v>
      </c>
      <c r="E4">
        <v>0.153</v>
      </c>
      <c r="F4">
        <v>8.5</v>
      </c>
      <c r="G4">
        <v>4.3</v>
      </c>
      <c r="H4" t="s">
        <v>45</v>
      </c>
    </row>
    <row r="5" spans="1:8" x14ac:dyDescent="0.25">
      <c r="A5" t="s">
        <v>47</v>
      </c>
      <c r="B5" t="s">
        <v>2</v>
      </c>
      <c r="C5" s="17">
        <v>41365</v>
      </c>
      <c r="D5">
        <v>17</v>
      </c>
      <c r="E5">
        <v>0.28999999999999998</v>
      </c>
      <c r="F5">
        <v>7</v>
      </c>
      <c r="G5">
        <v>7.7</v>
      </c>
      <c r="H5" t="s">
        <v>48</v>
      </c>
    </row>
    <row r="6" spans="1:8" x14ac:dyDescent="0.25">
      <c r="A6" t="s">
        <v>65</v>
      </c>
      <c r="B6" t="s">
        <v>2</v>
      </c>
      <c r="C6" s="17">
        <v>41579</v>
      </c>
      <c r="D6">
        <v>17</v>
      </c>
      <c r="E6">
        <v>3.0000000000000001E-3</v>
      </c>
      <c r="F6">
        <v>0.9</v>
      </c>
      <c r="G6">
        <v>2</v>
      </c>
      <c r="H6" t="s">
        <v>48</v>
      </c>
    </row>
    <row r="7" spans="1:8" x14ac:dyDescent="0.25">
      <c r="A7" t="s">
        <v>68</v>
      </c>
      <c r="B7" t="s">
        <v>4</v>
      </c>
      <c r="C7" s="17">
        <v>41671</v>
      </c>
      <c r="D7">
        <v>7</v>
      </c>
      <c r="E7">
        <v>0.10200000000000001</v>
      </c>
      <c r="F7">
        <v>1.4</v>
      </c>
      <c r="G7">
        <v>6</v>
      </c>
      <c r="H7" t="s">
        <v>48</v>
      </c>
    </row>
    <row r="8" spans="1:8" x14ac:dyDescent="0.25">
      <c r="A8" t="s">
        <v>69</v>
      </c>
      <c r="B8" t="s">
        <v>4</v>
      </c>
      <c r="C8" s="17">
        <v>41395</v>
      </c>
      <c r="D8">
        <v>7</v>
      </c>
      <c r="E8">
        <v>1.8000000000000002E-2</v>
      </c>
      <c r="F8">
        <v>5.2</v>
      </c>
      <c r="G8">
        <v>7.1</v>
      </c>
      <c r="H8" t="s">
        <v>48</v>
      </c>
    </row>
    <row r="9" spans="1:8" x14ac:dyDescent="0.25">
      <c r="A9" t="s">
        <v>59</v>
      </c>
      <c r="B9" t="s">
        <v>4</v>
      </c>
      <c r="C9" s="17">
        <v>41883</v>
      </c>
      <c r="D9">
        <v>7</v>
      </c>
      <c r="E9">
        <v>0.3</v>
      </c>
      <c r="F9">
        <v>3.1</v>
      </c>
      <c r="G9">
        <v>7</v>
      </c>
      <c r="H9" t="s">
        <v>48</v>
      </c>
    </row>
    <row r="10" spans="1:8" x14ac:dyDescent="0.25">
      <c r="A10" t="s">
        <v>61</v>
      </c>
      <c r="B10" t="s">
        <v>4</v>
      </c>
      <c r="C10" s="17">
        <v>41640</v>
      </c>
      <c r="D10">
        <v>7</v>
      </c>
      <c r="E10">
        <v>0.252</v>
      </c>
      <c r="F10">
        <v>0.8</v>
      </c>
      <c r="G10">
        <v>1.7</v>
      </c>
      <c r="H10" t="s">
        <v>48</v>
      </c>
    </row>
    <row r="11" spans="1:8" x14ac:dyDescent="0.25">
      <c r="A11" t="s">
        <v>70</v>
      </c>
      <c r="B11" t="s">
        <v>4</v>
      </c>
      <c r="C11" s="17">
        <v>41913</v>
      </c>
      <c r="D11">
        <v>7</v>
      </c>
      <c r="E11">
        <v>0.28500000000000003</v>
      </c>
      <c r="F11">
        <v>8.5</v>
      </c>
      <c r="G11">
        <v>5.5</v>
      </c>
      <c r="H11" t="s">
        <v>48</v>
      </c>
    </row>
    <row r="12" spans="1:8" x14ac:dyDescent="0.25">
      <c r="A12" t="s">
        <v>71</v>
      </c>
      <c r="B12" t="s">
        <v>4</v>
      </c>
      <c r="C12" s="17">
        <v>41883</v>
      </c>
      <c r="D12">
        <v>7</v>
      </c>
      <c r="E12">
        <v>0.114</v>
      </c>
      <c r="F12">
        <v>3.1</v>
      </c>
      <c r="G12">
        <v>9.8000000000000007</v>
      </c>
      <c r="H12" t="s">
        <v>48</v>
      </c>
    </row>
    <row r="13" spans="1:8" x14ac:dyDescent="0.25">
      <c r="A13" t="s">
        <v>66</v>
      </c>
      <c r="B13" t="s">
        <v>4</v>
      </c>
      <c r="C13" s="17">
        <v>41730</v>
      </c>
      <c r="D13">
        <v>7</v>
      </c>
      <c r="E13">
        <v>0.255</v>
      </c>
      <c r="F13">
        <v>2.5</v>
      </c>
      <c r="G13">
        <v>2.2000000000000002</v>
      </c>
      <c r="H13" t="s">
        <v>48</v>
      </c>
    </row>
    <row r="14" spans="1:8" x14ac:dyDescent="0.25">
      <c r="A14" t="s">
        <v>62</v>
      </c>
      <c r="B14" t="s">
        <v>4</v>
      </c>
      <c r="C14" s="17">
        <v>41730</v>
      </c>
      <c r="D14">
        <v>7</v>
      </c>
      <c r="E14">
        <v>0.27900000000000003</v>
      </c>
      <c r="F14">
        <v>4</v>
      </c>
      <c r="G14">
        <v>4.3</v>
      </c>
      <c r="H14" t="s">
        <v>48</v>
      </c>
    </row>
    <row r="15" spans="1:8" x14ac:dyDescent="0.25">
      <c r="A15" t="s">
        <v>54</v>
      </c>
      <c r="B15" t="s">
        <v>4</v>
      </c>
      <c r="C15" s="17">
        <v>41122</v>
      </c>
      <c r="D15">
        <v>7</v>
      </c>
      <c r="E15">
        <v>0.123</v>
      </c>
      <c r="F15">
        <v>0.8</v>
      </c>
      <c r="G15">
        <v>6.6</v>
      </c>
      <c r="H15" t="s">
        <v>45</v>
      </c>
    </row>
    <row r="16" spans="1:8" x14ac:dyDescent="0.25">
      <c r="A16" t="s">
        <v>55</v>
      </c>
      <c r="B16" t="s">
        <v>4</v>
      </c>
      <c r="C16" s="17">
        <v>41395</v>
      </c>
      <c r="D16">
        <v>7</v>
      </c>
      <c r="E16">
        <v>0.255</v>
      </c>
      <c r="F16">
        <v>4.4000000000000004</v>
      </c>
      <c r="G16">
        <v>9.9</v>
      </c>
      <c r="H16" t="s">
        <v>48</v>
      </c>
    </row>
    <row r="17" spans="1:8" x14ac:dyDescent="0.25">
      <c r="A17" t="s">
        <v>72</v>
      </c>
      <c r="B17" t="s">
        <v>4</v>
      </c>
      <c r="C17" s="17">
        <v>41609</v>
      </c>
      <c r="D17">
        <v>7</v>
      </c>
      <c r="E17">
        <v>0.252</v>
      </c>
      <c r="F17">
        <v>9.4</v>
      </c>
      <c r="G17">
        <v>3.8</v>
      </c>
      <c r="H17" t="s">
        <v>48</v>
      </c>
    </row>
    <row r="18" spans="1:8" x14ac:dyDescent="0.25">
      <c r="A18" t="s">
        <v>73</v>
      </c>
      <c r="B18" t="s">
        <v>4</v>
      </c>
      <c r="C18" s="17">
        <v>41699</v>
      </c>
      <c r="D18">
        <v>7</v>
      </c>
      <c r="E18">
        <v>7.3999999999999996E-2</v>
      </c>
      <c r="F18">
        <v>5</v>
      </c>
      <c r="G18">
        <v>9.6</v>
      </c>
      <c r="H18" t="s">
        <v>48</v>
      </c>
    </row>
    <row r="19" spans="1:8" x14ac:dyDescent="0.25">
      <c r="A19" t="s">
        <v>56</v>
      </c>
      <c r="B19" t="s">
        <v>4</v>
      </c>
      <c r="C19" s="17">
        <v>41821</v>
      </c>
      <c r="D19">
        <v>7</v>
      </c>
      <c r="E19">
        <v>0.246</v>
      </c>
      <c r="F19">
        <v>2.9</v>
      </c>
      <c r="G19">
        <v>1.8</v>
      </c>
      <c r="H19" t="s">
        <v>48</v>
      </c>
    </row>
    <row r="20" spans="1:8" x14ac:dyDescent="0.25">
      <c r="A20" t="s">
        <v>74</v>
      </c>
      <c r="B20" t="s">
        <v>4</v>
      </c>
      <c r="C20" s="17">
        <v>41579</v>
      </c>
      <c r="D20">
        <v>7</v>
      </c>
      <c r="E20">
        <v>0.153</v>
      </c>
      <c r="F20">
        <v>4.7</v>
      </c>
      <c r="G20">
        <v>5.4</v>
      </c>
      <c r="H20" t="s">
        <v>48</v>
      </c>
    </row>
    <row r="21" spans="1:8" x14ac:dyDescent="0.25">
      <c r="A21" t="s">
        <v>57</v>
      </c>
      <c r="B21" t="s">
        <v>4</v>
      </c>
      <c r="C21" s="17">
        <v>41153</v>
      </c>
      <c r="D21">
        <v>7</v>
      </c>
      <c r="E21">
        <v>0.26700000000000002</v>
      </c>
      <c r="F21">
        <v>8</v>
      </c>
      <c r="G21">
        <v>7.7</v>
      </c>
      <c r="H21" t="s">
        <v>45</v>
      </c>
    </row>
    <row r="22" spans="1:8" x14ac:dyDescent="0.25">
      <c r="A22" t="s">
        <v>49</v>
      </c>
      <c r="B22" t="s">
        <v>3</v>
      </c>
      <c r="C22" s="17">
        <v>41122</v>
      </c>
      <c r="D22">
        <v>12</v>
      </c>
      <c r="E22">
        <v>0.19500000000000001</v>
      </c>
      <c r="F22">
        <v>7.1</v>
      </c>
      <c r="G22">
        <v>0.3</v>
      </c>
      <c r="H22" t="s">
        <v>45</v>
      </c>
    </row>
    <row r="23" spans="1:8" x14ac:dyDescent="0.25">
      <c r="A23" t="s">
        <v>75</v>
      </c>
      <c r="B23" t="s">
        <v>3</v>
      </c>
      <c r="C23" s="17">
        <v>41730</v>
      </c>
      <c r="D23">
        <v>12</v>
      </c>
      <c r="E23">
        <v>0.09</v>
      </c>
      <c r="F23">
        <v>2</v>
      </c>
      <c r="G23">
        <v>3.6</v>
      </c>
      <c r="H23" t="s">
        <v>48</v>
      </c>
    </row>
    <row r="24" spans="1:8" x14ac:dyDescent="0.25">
      <c r="A24" t="s">
        <v>76</v>
      </c>
      <c r="B24" t="s">
        <v>3</v>
      </c>
      <c r="C24" s="17">
        <v>41183</v>
      </c>
      <c r="D24">
        <v>12</v>
      </c>
      <c r="E24">
        <v>4.8000000000000001E-2</v>
      </c>
      <c r="F24">
        <v>9.5</v>
      </c>
      <c r="G24">
        <v>9.4</v>
      </c>
      <c r="H24" t="s">
        <v>45</v>
      </c>
    </row>
    <row r="25" spans="1:8" x14ac:dyDescent="0.25">
      <c r="A25" t="s">
        <v>50</v>
      </c>
      <c r="B25" t="s">
        <v>3</v>
      </c>
      <c r="C25" s="17">
        <v>41122</v>
      </c>
      <c r="D25">
        <v>12</v>
      </c>
      <c r="E25">
        <v>0.216</v>
      </c>
      <c r="F25">
        <v>5.5</v>
      </c>
      <c r="G25">
        <v>4.5999999999999996</v>
      </c>
      <c r="H25" t="s">
        <v>45</v>
      </c>
    </row>
    <row r="26" spans="1:8" x14ac:dyDescent="0.25">
      <c r="A26" t="s">
        <v>51</v>
      </c>
      <c r="B26" t="s">
        <v>3</v>
      </c>
      <c r="C26" s="17">
        <v>41183</v>
      </c>
      <c r="D26">
        <v>12</v>
      </c>
      <c r="E26">
        <v>0.13500000000000001</v>
      </c>
      <c r="F26">
        <v>5.8</v>
      </c>
      <c r="G26">
        <v>9.6</v>
      </c>
      <c r="H26" t="s">
        <v>45</v>
      </c>
    </row>
    <row r="27" spans="1:8" x14ac:dyDescent="0.25">
      <c r="A27" t="s">
        <v>53</v>
      </c>
      <c r="B27" t="s">
        <v>3</v>
      </c>
      <c r="C27" s="17">
        <v>41426</v>
      </c>
      <c r="D27">
        <v>12</v>
      </c>
      <c r="E27">
        <v>0.19500000000000001</v>
      </c>
      <c r="F27">
        <v>5</v>
      </c>
      <c r="G27">
        <v>5</v>
      </c>
      <c r="H27" t="s">
        <v>48</v>
      </c>
    </row>
    <row r="28" spans="1:8" x14ac:dyDescent="0.25">
      <c r="A28" t="s">
        <v>67</v>
      </c>
      <c r="B28" t="s">
        <v>3</v>
      </c>
      <c r="C28" s="17">
        <v>41579</v>
      </c>
      <c r="D28">
        <v>12</v>
      </c>
      <c r="E28">
        <v>6.3E-2</v>
      </c>
      <c r="F28">
        <v>9.3000000000000007</v>
      </c>
      <c r="G28">
        <v>7.2</v>
      </c>
      <c r="H28" t="s">
        <v>48</v>
      </c>
    </row>
    <row r="29" spans="1:8" x14ac:dyDescent="0.25">
      <c r="A29" t="s">
        <v>52</v>
      </c>
      <c r="B29" t="s">
        <v>3</v>
      </c>
      <c r="C29" s="17">
        <v>41395</v>
      </c>
      <c r="D29">
        <v>12</v>
      </c>
      <c r="E29">
        <v>4.8000000000000001E-2</v>
      </c>
      <c r="F29">
        <v>6.5</v>
      </c>
      <c r="G29">
        <v>4.9000000000000004</v>
      </c>
      <c r="H29" t="s">
        <v>48</v>
      </c>
    </row>
    <row r="30" spans="1:8" x14ac:dyDescent="0.25">
      <c r="A30" t="s">
        <v>63</v>
      </c>
      <c r="B30" t="s">
        <v>3</v>
      </c>
      <c r="C30" s="17">
        <v>41913</v>
      </c>
      <c r="D30">
        <v>12</v>
      </c>
      <c r="E30">
        <v>0.123</v>
      </c>
      <c r="F30">
        <v>7</v>
      </c>
      <c r="G30">
        <v>3.3</v>
      </c>
      <c r="H30" t="s">
        <v>48</v>
      </c>
    </row>
    <row r="31" spans="1:8" x14ac:dyDescent="0.25">
      <c r="A31" t="s">
        <v>64</v>
      </c>
      <c r="B31" t="s">
        <v>3</v>
      </c>
      <c r="C31" s="17">
        <v>41913</v>
      </c>
      <c r="D31">
        <v>12</v>
      </c>
      <c r="E31">
        <v>0.111</v>
      </c>
      <c r="F31">
        <v>9.1</v>
      </c>
      <c r="G31">
        <v>4.7</v>
      </c>
      <c r="H31" t="s">
        <v>48</v>
      </c>
    </row>
    <row r="32" spans="1:8" x14ac:dyDescent="0.25">
      <c r="A32" t="s">
        <v>60</v>
      </c>
    </row>
  </sheetData>
  <dataConsolidate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44</vt:i4>
      </vt:variant>
    </vt:vector>
  </HeadingPairs>
  <TitlesOfParts>
    <vt:vector size="48" baseType="lpstr">
      <vt:lpstr>Einstellungen</vt:lpstr>
      <vt:lpstr>Projektdefinition Ressourcen</vt:lpstr>
      <vt:lpstr>Projektdefinition Kosten</vt:lpstr>
      <vt:lpstr>Portfolio</vt:lpstr>
      <vt:lpstr>AmpelGelb</vt:lpstr>
      <vt:lpstr>AmpelGruen</vt:lpstr>
      <vt:lpstr>AmpelNichtBewertet</vt:lpstr>
      <vt:lpstr>AmpelRot</vt:lpstr>
      <vt:lpstr>Arbeitstage_pro_Monat</vt:lpstr>
      <vt:lpstr>awin_Kosten_Definition</vt:lpstr>
      <vt:lpstr>awin_Phasen_Definition</vt:lpstr>
      <vt:lpstr>awin_Rollen_Definition</vt:lpstr>
      <vt:lpstr>Datenbank</vt:lpstr>
      <vt:lpstr>EinzelRessourcenExport</vt:lpstr>
      <vt:lpstr>Ergebnisfarbe1</vt:lpstr>
      <vt:lpstr>Ergebnisfarbe2</vt:lpstr>
      <vt:lpstr>Farbe_externe_Ressourcen</vt:lpstr>
      <vt:lpstr>Farbe_für_Projekte_ohne_Vorlage</vt:lpstr>
      <vt:lpstr>Farbe_intern_ohne_Projekte</vt:lpstr>
      <vt:lpstr>Farbe_Ress_Kost_Werte</vt:lpstr>
      <vt:lpstr>GlowColor</vt:lpstr>
      <vt:lpstr>kapaEinheit</vt:lpstr>
      <vt:lpstr>Linker_Rand_Ressourcen_Diagramme</vt:lpstr>
      <vt:lpstr>Max_Dauer_eines_Projektes</vt:lpstr>
      <vt:lpstr>NoShow_Time_Zone_Color</vt:lpstr>
      <vt:lpstr>offsetEinheit</vt:lpstr>
      <vt:lpstr>P1_CostDefinition</vt:lpstr>
      <vt:lpstr>P1_Definition</vt:lpstr>
      <vt:lpstr>P2_CostDefinition</vt:lpstr>
      <vt:lpstr>P2_Definition</vt:lpstr>
      <vt:lpstr>P3_CostDefinition</vt:lpstr>
      <vt:lpstr>P3_Definition</vt:lpstr>
      <vt:lpstr>Positivliste</vt:lpstr>
      <vt:lpstr>Projektliste</vt:lpstr>
      <vt:lpstr>Rechter_Rand_Ressourcen_Diagramme</vt:lpstr>
      <vt:lpstr>Show_Time_Zone_Color</vt:lpstr>
      <vt:lpstr>Soll_Ist_Farbe_Aktuell</vt:lpstr>
      <vt:lpstr>Soll_Ist_Farbe_Beauftragung</vt:lpstr>
      <vt:lpstr>Soll_Ist_Farbe_letzte_Freigabe</vt:lpstr>
      <vt:lpstr>Spaltenbreite</vt:lpstr>
      <vt:lpstr>Start_Kalender</vt:lpstr>
      <vt:lpstr>Vergleichsfarbe1</vt:lpstr>
      <vt:lpstr>Vergleichsfarbe2</vt:lpstr>
      <vt:lpstr>Vergleichsfarbe3</vt:lpstr>
      <vt:lpstr>WeightStrategicFit</vt:lpstr>
      <vt:lpstr>Zeilenhoehe1</vt:lpstr>
      <vt:lpstr>Zeilenhoehe2</vt:lpstr>
      <vt:lpstr>Zeiteinheit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Ute</cp:lastModifiedBy>
  <dcterms:created xsi:type="dcterms:W3CDTF">2013-01-26T14:59:08Z</dcterms:created>
  <dcterms:modified xsi:type="dcterms:W3CDTF">2013-12-30T10:04:07Z</dcterms:modified>
</cp:coreProperties>
</file>