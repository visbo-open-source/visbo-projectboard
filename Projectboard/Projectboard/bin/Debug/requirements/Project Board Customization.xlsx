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DieseArbeitsmappe" defaultThemeVersion="124226"/>
  <bookViews>
    <workbookView showSheetTabs="0" xWindow="120" yWindow="195" windowWidth="15600" windowHeight="11640"/>
  </bookViews>
  <sheets>
    <sheet name="Einstellungen" sheetId="4" r:id="rId1"/>
    <sheet name="Projektdefinition Ressourcen" sheetId="5" state="hidden" r:id="rId2"/>
    <sheet name="Projektdefinition Kosten" sheetId="6" state="hidden" r:id="rId3"/>
    <sheet name="Portfolio" sheetId="7" state="hidden" r:id="rId4"/>
  </sheets>
  <externalReferences>
    <externalReference r:id="rId5"/>
  </externalReferences>
  <definedNames>
    <definedName name="AmpelGelb">Einstellungen!$B$55</definedName>
    <definedName name="AmpelGruen">Einstellungen!$B$54</definedName>
    <definedName name="AmpelNichtBewertet">Einstellungen!$B$57</definedName>
    <definedName name="AmpelRot">Einstellungen!$B$56</definedName>
    <definedName name="Arbeitstage_pro_Monat">Einstellungen!$B$41</definedName>
    <definedName name="awin_Kosten_Definition">Einstellungen!$B$26:$B$30</definedName>
    <definedName name="awin_Phasen_Definition">Einstellungen!$B$7:$B$14</definedName>
    <definedName name="awin_Projekt_Definition">Einstellungen!#REF!</definedName>
    <definedName name="awin_Rollen_Definition">Einstellungen!$B$17:$B$24</definedName>
    <definedName name="_xlnm.Database">Einstellungen!$B$64</definedName>
    <definedName name="EinzelRessourcenExport">Einstellungen!$B$68</definedName>
    <definedName name="Ergebnisfarbe1">Einstellungen!$B$49</definedName>
    <definedName name="Ergebnisfarbe2">Einstellungen!$B$50</definedName>
    <definedName name="Farbe_externe_Ressourcen">Einstellungen!$B$43</definedName>
    <definedName name="Farbe_für_Projekte_ohne_Vorlage">Einstellungen!$B$44</definedName>
    <definedName name="Farbe_intern_ohne_Projekte">Einstellungen!$B$42</definedName>
    <definedName name="Farbe_Ress_Kost_Werte">Einstellungen!$B$45</definedName>
    <definedName name="GlowColor">Einstellungen!$B$58</definedName>
    <definedName name="kapaEinheit">Einstellungen!$B$62</definedName>
    <definedName name="Linker_Rand_Ressourcen_Diagramme">Einstellungen!$B$37</definedName>
    <definedName name="Max_Dauer_eines_Projektes">Einstellungen!$B$36</definedName>
    <definedName name="NoShow_Time_Zone_Color">Einstellungen!$B$40</definedName>
    <definedName name="offsetEinheit">Einstellungen!$B$63</definedName>
    <definedName name="P1_CostDefinition">'Projektdefinition Kosten'!$A$2:$A$18</definedName>
    <definedName name="P1_Definition">'Projektdefinition Ressourcen'!$A$2:$A$19</definedName>
    <definedName name="P2_CostDefinition">'Projektdefinition Kosten'!$A$21:$A$31</definedName>
    <definedName name="P2_Definition">'Projektdefinition Ressourcen'!$A$22:$A$36</definedName>
    <definedName name="P3_CostDefinition">'Projektdefinition Kosten'!$A$34:$A$43</definedName>
    <definedName name="P3_Definition">'Projektdefinition Ressourcen'!$A$39:$A$50</definedName>
    <definedName name="P4_CostDefinition" localSheetId="3">'[1]Projektdefinition Kosten'!#REF!</definedName>
    <definedName name="P4_CostDefinition">'Projektdefinition Kosten'!#REF!</definedName>
    <definedName name="P4_Definition" localSheetId="3">'[1]Projektdefinition Ressourcen'!#REF!</definedName>
    <definedName name="P4_Definition" localSheetId="2">'[1]Projektdefinition Ressourcen'!#REF!</definedName>
    <definedName name="P4_Definition">'Projektdefinition Ressourcen'!#REF!</definedName>
    <definedName name="P5_CostDefinition" localSheetId="3">'[1]Projektdefinition Kosten'!#REF!</definedName>
    <definedName name="P5_CostDefinition">'Projektdefinition Kosten'!#REF!</definedName>
    <definedName name="P5_Definition" localSheetId="3">'[1]Projektdefinition Ressourcen'!#REF!</definedName>
    <definedName name="P5_Definition" localSheetId="2">'[1]Projektdefinition Ressourcen'!#REF!</definedName>
    <definedName name="P5_Definition">'Projektdefinition Ressourcen'!#REF!</definedName>
    <definedName name="Projektliste">Portfolio!$A$23</definedName>
    <definedName name="Rechter_Rand_Ressourcen_Diagramme">Einstellungen!$B$38</definedName>
    <definedName name="Show_Time_Zone_Color">Einstellungen!$B$39</definedName>
    <definedName name="Soll_Ist_Farbe_Aktuell">Einstellungen!$B$53</definedName>
    <definedName name="Soll_Ist_Farbe_Beauftragung">Einstellungen!$B$51</definedName>
    <definedName name="Soll_Ist_Farbe_letzte_Freigabe">Einstellungen!$B$52</definedName>
    <definedName name="Spaltenbreite">Einstellungen!$B$67</definedName>
    <definedName name="Start_Kalender">Einstellungen!$B$60</definedName>
    <definedName name="Vergleichsfarbe1">Einstellungen!$B$46</definedName>
    <definedName name="Vergleichsfarbe2">Einstellungen!$B$47</definedName>
    <definedName name="Vergleichsfarbe3">Einstellungen!$B$48</definedName>
    <definedName name="WeightStrategicFit">Einstellungen!$B$59</definedName>
    <definedName name="Zeilenhoehe1">Einstellungen!$B$65</definedName>
    <definedName name="Zeilenhoehe2">Einstellungen!$B$66</definedName>
    <definedName name="Zeiteinheit">Einstellungen!$B$61</definedName>
  </definedNames>
  <calcPr calcId="145621"/>
</workbook>
</file>

<file path=xl/calcChain.xml><?xml version="1.0" encoding="utf-8"?>
<calcChain xmlns="http://schemas.openxmlformats.org/spreadsheetml/2006/main">
  <c r="Q19" i="4" l="1"/>
  <c r="R19" i="4"/>
  <c r="S19" i="4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H19" i="4" l="1"/>
  <c r="I19" i="4"/>
  <c r="J19" i="4" s="1"/>
  <c r="K19" i="4" s="1"/>
  <c r="L19" i="4" s="1"/>
  <c r="M19" i="4" s="1"/>
  <c r="N19" i="4" s="1"/>
  <c r="O19" i="4" s="1"/>
  <c r="P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G19" i="4"/>
  <c r="F19" i="4"/>
  <c r="H22" i="4" l="1"/>
  <c r="I22" i="4" s="1"/>
  <c r="J22" i="4" s="1"/>
  <c r="K22" i="4" s="1"/>
  <c r="L22" i="4" s="1"/>
  <c r="M22" i="4" s="1"/>
  <c r="N22" i="4" s="1"/>
  <c r="O22" i="4" s="1"/>
  <c r="P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H23" i="4"/>
  <c r="I23" i="4"/>
  <c r="J23" i="4"/>
  <c r="K23" i="4" s="1"/>
  <c r="L23" i="4" s="1"/>
  <c r="M23" i="4" s="1"/>
  <c r="N23" i="4" s="1"/>
  <c r="O23" i="4" s="1"/>
  <c r="P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G23" i="4"/>
  <c r="G22" i="4"/>
  <c r="I20" i="4"/>
  <c r="J20" i="4"/>
  <c r="K20" i="4" s="1"/>
  <c r="L20" i="4" s="1"/>
  <c r="M20" i="4" s="1"/>
  <c r="N20" i="4" s="1"/>
  <c r="O20" i="4" s="1"/>
  <c r="P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H20" i="4"/>
  <c r="G20" i="4"/>
  <c r="O18" i="4"/>
  <c r="P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F23" i="4" l="1"/>
  <c r="F22" i="4" l="1"/>
  <c r="F21" i="4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F20" i="4"/>
  <c r="F18" i="4"/>
  <c r="G18" i="4" s="1"/>
  <c r="H18" i="4" s="1"/>
  <c r="I18" i="4" s="1"/>
  <c r="J18" i="4" s="1"/>
  <c r="K18" i="4" s="1"/>
  <c r="L18" i="4" s="1"/>
  <c r="M18" i="4" s="1"/>
  <c r="N18" i="4" s="1"/>
  <c r="F17" i="4" l="1"/>
</calcChain>
</file>

<file path=xl/comments1.xml><?xml version="1.0" encoding="utf-8"?>
<comments xmlns="http://schemas.openxmlformats.org/spreadsheetml/2006/main">
  <authors>
    <author>tom</author>
  </authors>
  <commentList>
    <comment ref="L64" authorId="0">
      <text>
        <r>
          <rPr>
            <b/>
            <sz val="9"/>
            <color indexed="81"/>
            <rFont val="Tahoma"/>
            <charset val="1"/>
          </rPr>
          <t>tom:</t>
        </r>
        <r>
          <rPr>
            <sz val="9"/>
            <color indexed="81"/>
            <rFont val="Tahoma"/>
            <charset val="1"/>
          </rPr>
          <t xml:space="preserve">
ist bereits befüllt</t>
        </r>
      </text>
    </comment>
  </commentList>
</comments>
</file>

<file path=xl/sharedStrings.xml><?xml version="1.0" encoding="utf-8"?>
<sst xmlns="http://schemas.openxmlformats.org/spreadsheetml/2006/main" count="242" uniqueCount="134">
  <si>
    <t xml:space="preserve">Customization - Einstellung der Parameter </t>
  </si>
  <si>
    <t xml:space="preserve"> </t>
  </si>
  <si>
    <t>Neu-Entwicklung</t>
  </si>
  <si>
    <t>Variante</t>
  </si>
  <si>
    <t>Überarbeitung</t>
  </si>
  <si>
    <t>Phase I</t>
  </si>
  <si>
    <t>Phase II</t>
  </si>
  <si>
    <t>Phase III</t>
  </si>
  <si>
    <t>Phase IV</t>
  </si>
  <si>
    <t>Rollen-Name</t>
  </si>
  <si>
    <t xml:space="preserve">Tagessatz intern </t>
  </si>
  <si>
    <t>Tagessatz extern</t>
  </si>
  <si>
    <t>Projektleiter</t>
  </si>
  <si>
    <t>PMO-Office</t>
  </si>
  <si>
    <t>Designer</t>
  </si>
  <si>
    <t>Ton-Modelleure</t>
  </si>
  <si>
    <t>CAD-Konstrukteure</t>
  </si>
  <si>
    <t>Kosten-Arten</t>
  </si>
  <si>
    <t>IT-Kosten</t>
  </si>
  <si>
    <t>Material-Kosten</t>
  </si>
  <si>
    <t>Reise-Kosten</t>
  </si>
  <si>
    <t xml:space="preserve">neue Kostenarten bitte vor dieser Zeile einfügen </t>
  </si>
  <si>
    <t>Max_Dauer_eines_Projektes</t>
  </si>
  <si>
    <t>Linker Rand Time Zone</t>
  </si>
  <si>
    <t xml:space="preserve">Rechter Rand Time Zone </t>
  </si>
  <si>
    <t>Show Time Zone Color</t>
  </si>
  <si>
    <t>NoShow Time Zone Color</t>
  </si>
  <si>
    <t>Arbeitstage pro Monat</t>
  </si>
  <si>
    <t>Farbe für intern, ohne Projekte</t>
  </si>
  <si>
    <t>Farbe für externe Ressourcen</t>
  </si>
  <si>
    <t>Farbe für Projekte ohne Vorlage</t>
  </si>
  <si>
    <t>Farbe für Eingabe Ress Kosten</t>
  </si>
  <si>
    <t>Monate</t>
  </si>
  <si>
    <t>Skizzen</t>
  </si>
  <si>
    <t>Formfindung</t>
  </si>
  <si>
    <t>Präsentations-Modelle</t>
  </si>
  <si>
    <t>3D-Modellierung</t>
  </si>
  <si>
    <t>Name</t>
  </si>
  <si>
    <t>Projekt-Vorlage</t>
  </si>
  <si>
    <t>Start</t>
  </si>
  <si>
    <t>Dauer</t>
  </si>
  <si>
    <t>Marge</t>
  </si>
  <si>
    <t>Strategischer Fit</t>
  </si>
  <si>
    <t>Risiko</t>
  </si>
  <si>
    <t>Status</t>
  </si>
  <si>
    <t>Neu-Entwicklung 1</t>
  </si>
  <si>
    <t>beauftragt</t>
  </si>
  <si>
    <t>Neu-Entwicklung 3</t>
  </si>
  <si>
    <t>Neu-Entwicklung 4</t>
  </si>
  <si>
    <t>geplant</t>
  </si>
  <si>
    <t>Variante 1-1</t>
  </si>
  <si>
    <t>Variante 2-1</t>
  </si>
  <si>
    <t>Variante 2-2</t>
  </si>
  <si>
    <t>Variante 3-1</t>
  </si>
  <si>
    <t>Variante 2-3</t>
  </si>
  <si>
    <t>Überarbeitung 2</t>
  </si>
  <si>
    <t>Überarbeitung 3</t>
  </si>
  <si>
    <t>Überarbeitung 7</t>
  </si>
  <si>
    <t>Überarbeitung 9</t>
  </si>
  <si>
    <t>Neu-Entwicklung 2</t>
  </si>
  <si>
    <t>Überarbeitung 11</t>
  </si>
  <si>
    <t>#</t>
  </si>
  <si>
    <t>Überarbeitung 12</t>
  </si>
  <si>
    <t>Überarbeitung 16</t>
  </si>
  <si>
    <t>Variante 4-1</t>
  </si>
  <si>
    <t>Variante 4-2</t>
  </si>
  <si>
    <t>Neu-Entwicklung 6</t>
  </si>
  <si>
    <t>Überarbeitung 15</t>
  </si>
  <si>
    <t>Variante 2-5</t>
  </si>
  <si>
    <t>Überarbeitung 1</t>
  </si>
  <si>
    <t>Überarbeitung 10</t>
  </si>
  <si>
    <t>Überarbeitung 13</t>
  </si>
  <si>
    <t>Überarbeitung 14</t>
  </si>
  <si>
    <t>Überarbeitung 4</t>
  </si>
  <si>
    <t>Überarbeitung 5</t>
  </si>
  <si>
    <t>Überarbeitung 8</t>
  </si>
  <si>
    <t>Variante 1-2</t>
  </si>
  <si>
    <t>Variante 1-3</t>
  </si>
  <si>
    <t>Vergleichsfarbe1 (Beide)</t>
  </si>
  <si>
    <t>Vergleichsfarbe2 (Aktueller Stand)</t>
  </si>
  <si>
    <t>Vergleichsfarbe3 (Beauftragung/vorheriger Stand)</t>
  </si>
  <si>
    <t xml:space="preserve">Ergebnisfarbe Earned Value - ungewichtet </t>
  </si>
  <si>
    <t xml:space="preserve">Ergebnisfarbe Earned Value - gewichtet </t>
  </si>
  <si>
    <t xml:space="preserve">(Ausgleichs-)Gewicht des strategischen Fits </t>
  </si>
  <si>
    <t>Start Kalender</t>
  </si>
  <si>
    <t>Zeiteinheit</t>
  </si>
  <si>
    <t xml:space="preserve">Datenbank </t>
  </si>
  <si>
    <t>projectboard</t>
  </si>
  <si>
    <t xml:space="preserve">neue Rollen bitte vor dieser Zeile einfügen </t>
  </si>
  <si>
    <t xml:space="preserve">neue Phasen bitte vor dieser Zeile einfügen </t>
  </si>
  <si>
    <t>Zeilenhoehe1</t>
  </si>
  <si>
    <t>Zeilenhoehe2</t>
  </si>
  <si>
    <t>Spaltenbreite</t>
  </si>
  <si>
    <t>PM</t>
  </si>
  <si>
    <t>Soll-Ist Farbe Beauftragung</t>
  </si>
  <si>
    <t>Soll-Ist Farbe letzte Freigabe</t>
  </si>
  <si>
    <t>Soll-Ist Farbe Aktuell</t>
  </si>
  <si>
    <t>Ampel-Farbe Gelb</t>
  </si>
  <si>
    <t>Ampel-Farbe Rot</t>
  </si>
  <si>
    <t>Ampel-Farbe Nicht bewertet</t>
  </si>
  <si>
    <t>Ampel-Farbe Grün</t>
  </si>
  <si>
    <t>Farbe zur Kennzeichnung "importiert"</t>
  </si>
  <si>
    <t>testboard</t>
  </si>
  <si>
    <t>Konzept</t>
  </si>
  <si>
    <t>Prototyp</t>
  </si>
  <si>
    <t>Entwicklung</t>
  </si>
  <si>
    <t>Fertigung1</t>
  </si>
  <si>
    <t>demofzg2</t>
  </si>
  <si>
    <t>demofzgB</t>
  </si>
  <si>
    <t>Einzel Ressourcen Export</t>
  </si>
  <si>
    <t>Kapazitätseinheit</t>
  </si>
  <si>
    <t>PT</t>
  </si>
  <si>
    <t>demoPT1</t>
  </si>
  <si>
    <t>demoPTH</t>
  </si>
  <si>
    <t>durchschn.Kapazität (PT) / Monat</t>
  </si>
  <si>
    <t>Rollout</t>
  </si>
  <si>
    <t>Test</t>
  </si>
  <si>
    <t>Business Case</t>
  </si>
  <si>
    <t>Analyst</t>
  </si>
  <si>
    <t>Entwickler</t>
  </si>
  <si>
    <t>Tester</t>
  </si>
  <si>
    <t>ITProjekte</t>
  </si>
  <si>
    <t>Projekt-Typen</t>
  </si>
  <si>
    <t>IT Entwicklungsprojekt</t>
  </si>
  <si>
    <t>IT Einführungsprojekt</t>
  </si>
  <si>
    <t>Innovationsprojekt</t>
  </si>
  <si>
    <t>GUI Spezialist</t>
  </si>
  <si>
    <t>Architekt</t>
  </si>
  <si>
    <t>Trainings-Kosten</t>
  </si>
  <si>
    <t>ITProjekte1</t>
  </si>
  <si>
    <t>Phasen</t>
  </si>
  <si>
    <t>OffsetEinheit</t>
  </si>
  <si>
    <t>w</t>
  </si>
  <si>
    <t>Abstand Milestones wird gerechnet in … (d für Tage, w für Wochen)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</si>
</sst>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F2B8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CBC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5" fillId="0" borderId="0" xfId="0" applyFont="1"/>
    <xf numFmtId="0" fontId="0" fillId="2" borderId="0" xfId="0" applyFill="1"/>
    <xf numFmtId="0" fontId="0" fillId="7" borderId="0" xfId="0" applyFill="1"/>
    <xf numFmtId="0" fontId="2" fillId="3" borderId="0" xfId="0" applyFont="1" applyFill="1"/>
    <xf numFmtId="0" fontId="2" fillId="2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5" borderId="0" xfId="0" applyFill="1"/>
    <xf numFmtId="0" fontId="0" fillId="12" borderId="0" xfId="0" applyFill="1"/>
    <xf numFmtId="0" fontId="1" fillId="0" borderId="0" xfId="0" applyFont="1"/>
    <xf numFmtId="0" fontId="4" fillId="0" borderId="0" xfId="0" applyFont="1"/>
    <xf numFmtId="0" fontId="6" fillId="0" borderId="0" xfId="0" applyFont="1"/>
    <xf numFmtId="14" fontId="0" fillId="0" borderId="0" xfId="0" applyNumberFormat="1"/>
    <xf numFmtId="0" fontId="0" fillId="6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right"/>
    </xf>
    <xf numFmtId="2" fontId="0" fillId="0" borderId="0" xfId="0" applyNumberFormat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2" fillId="7" borderId="0" xfId="0" applyFont="1" applyFill="1"/>
    <xf numFmtId="0" fontId="0" fillId="19" borderId="0" xfId="0" applyFill="1"/>
    <xf numFmtId="0" fontId="2" fillId="15" borderId="0" xfId="0" applyFont="1" applyFill="1"/>
    <xf numFmtId="17" fontId="0" fillId="0" borderId="0" xfId="0" applyNumberFormat="1"/>
    <xf numFmtId="0" fontId="8" fillId="0" borderId="0" xfId="0" applyFont="1"/>
    <xf numFmtId="0" fontId="0" fillId="0" borderId="0" xfId="0" applyNumberFormat="1"/>
    <xf numFmtId="0" fontId="0" fillId="0" borderId="0" xfId="0" applyAlignment="1">
      <alignment horizontal="center"/>
    </xf>
    <xf numFmtId="0" fontId="0" fillId="20" borderId="0" xfId="0" applyFill="1"/>
    <xf numFmtId="0" fontId="0" fillId="21" borderId="0" xfId="0" applyFill="1"/>
    <xf numFmtId="0" fontId="0" fillId="18" borderId="0" xfId="0" applyFill="1"/>
    <xf numFmtId="0" fontId="7" fillId="22" borderId="0" xfId="0" applyFont="1" applyFill="1"/>
    <xf numFmtId="0" fontId="0" fillId="24" borderId="0" xfId="0" applyFill="1"/>
    <xf numFmtId="0" fontId="9" fillId="23" borderId="0" xfId="0" applyFont="1" applyFill="1"/>
    <xf numFmtId="0" fontId="9" fillId="4" borderId="0" xfId="0" applyFont="1" applyFill="1"/>
    <xf numFmtId="0" fontId="9" fillId="15" borderId="0" xfId="0" applyFont="1" applyFill="1"/>
    <xf numFmtId="0" fontId="2" fillId="6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2B800"/>
      <color rgb="FF6CBCB4"/>
      <color rgb="FF007E39"/>
      <color rgb="FF85363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kt-Tafel%20-%20Beispiel%20einfa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rlage"/>
      <sheetName val="Projekt Tafel"/>
      <sheetName val="Projektdefinition Ressourcen"/>
      <sheetName val="Projektdefinition Kosten"/>
      <sheetName val="Rules"/>
      <sheetName val="Rule Consistency"/>
      <sheetName val="Rule Application"/>
      <sheetName val="Einstellungen"/>
      <sheetName val="Portfolio Vorlage"/>
      <sheetName val="Portfolio"/>
      <sheetName val="Objekte"/>
      <sheetName val="Projekt editiere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EI68"/>
  <sheetViews>
    <sheetView tabSelected="1" defaultGridColor="0" colorId="22" zoomScaleNormal="100" workbookViewId="0">
      <pane ySplit="1" topLeftCell="A44" activePane="bottomLeft" state="frozenSplit"/>
      <selection pane="bottomLeft" activeCell="B58" sqref="B58"/>
    </sheetView>
  </sheetViews>
  <sheetFormatPr baseColWidth="10" defaultRowHeight="15" x14ac:dyDescent="0.25"/>
  <cols>
    <col min="1" max="1" width="47.7109375" customWidth="1"/>
    <col min="2" max="2" width="30" customWidth="1"/>
    <col min="3" max="3" width="30.140625" customWidth="1"/>
    <col min="4" max="4" width="31.140625" customWidth="1"/>
    <col min="5" max="5" width="26.7109375" customWidth="1"/>
  </cols>
  <sheetData>
    <row r="1" spans="1:2" ht="21" x14ac:dyDescent="0.35">
      <c r="A1" s="31" t="s">
        <v>0</v>
      </c>
    </row>
    <row r="3" spans="1:2" x14ac:dyDescent="0.25">
      <c r="A3" t="s">
        <v>122</v>
      </c>
      <c r="B3" s="39" t="s">
        <v>123</v>
      </c>
    </row>
    <row r="4" spans="1:2" x14ac:dyDescent="0.25">
      <c r="B4" s="41" t="s">
        <v>124</v>
      </c>
    </row>
    <row r="5" spans="1:2" x14ac:dyDescent="0.25">
      <c r="B5" s="40" t="s">
        <v>125</v>
      </c>
    </row>
    <row r="6" spans="1:2" x14ac:dyDescent="0.25">
      <c r="A6" t="s">
        <v>1</v>
      </c>
    </row>
    <row r="7" spans="1:2" x14ac:dyDescent="0.25">
      <c r="A7" t="s">
        <v>130</v>
      </c>
    </row>
    <row r="8" spans="1:2" x14ac:dyDescent="0.25">
      <c r="B8" s="37" t="s">
        <v>117</v>
      </c>
    </row>
    <row r="9" spans="1:2" x14ac:dyDescent="0.25">
      <c r="B9" s="28" t="s">
        <v>103</v>
      </c>
    </row>
    <row r="10" spans="1:2" x14ac:dyDescent="0.25">
      <c r="B10" s="6" t="s">
        <v>105</v>
      </c>
    </row>
    <row r="11" spans="1:2" x14ac:dyDescent="0.25">
      <c r="B11" s="38" t="s">
        <v>104</v>
      </c>
    </row>
    <row r="12" spans="1:2" x14ac:dyDescent="0.25">
      <c r="B12" s="24" t="s">
        <v>116</v>
      </c>
    </row>
    <row r="13" spans="1:2" x14ac:dyDescent="0.25">
      <c r="B13" s="34" t="s">
        <v>115</v>
      </c>
    </row>
    <row r="14" spans="1:2" x14ac:dyDescent="0.25">
      <c r="A14" s="4" t="s">
        <v>89</v>
      </c>
    </row>
    <row r="16" spans="1:2" x14ac:dyDescent="0.25">
      <c r="A16" t="s">
        <v>1</v>
      </c>
    </row>
    <row r="17" spans="1:139" x14ac:dyDescent="0.25">
      <c r="A17" t="s">
        <v>9</v>
      </c>
      <c r="C17" s="33" t="s">
        <v>114</v>
      </c>
      <c r="D17" s="33" t="s">
        <v>10</v>
      </c>
      <c r="E17" s="33" t="s">
        <v>11</v>
      </c>
      <c r="F17" s="30">
        <f>Start_Kalender</f>
        <v>41153</v>
      </c>
      <c r="G17" s="30">
        <v>41183</v>
      </c>
      <c r="H17" s="30">
        <v>41214</v>
      </c>
      <c r="I17" s="30">
        <v>41244</v>
      </c>
      <c r="J17" s="30">
        <v>41275</v>
      </c>
      <c r="K17" s="30">
        <v>41306</v>
      </c>
      <c r="L17" s="30">
        <v>41334</v>
      </c>
      <c r="M17" s="30">
        <v>41365</v>
      </c>
      <c r="N17" s="30">
        <v>41395</v>
      </c>
      <c r="O17" s="30">
        <v>41426</v>
      </c>
      <c r="P17" s="30">
        <v>41456</v>
      </c>
      <c r="Q17" s="30">
        <v>41487</v>
      </c>
      <c r="R17" s="30">
        <v>41518</v>
      </c>
      <c r="S17" s="30">
        <v>41548</v>
      </c>
      <c r="T17" s="30">
        <v>41579</v>
      </c>
      <c r="U17" s="30">
        <v>41609</v>
      </c>
      <c r="V17" s="30">
        <v>41640</v>
      </c>
      <c r="W17" s="30">
        <v>41671</v>
      </c>
      <c r="X17" s="30">
        <v>41699</v>
      </c>
      <c r="Y17" s="30">
        <v>41730</v>
      </c>
      <c r="Z17" s="30">
        <v>41760</v>
      </c>
      <c r="AA17" s="30">
        <v>41791</v>
      </c>
      <c r="AB17" s="30">
        <v>41821</v>
      </c>
      <c r="AC17" s="30">
        <v>41852</v>
      </c>
      <c r="AD17" s="30">
        <v>41883</v>
      </c>
      <c r="AE17" s="30">
        <v>41913</v>
      </c>
      <c r="AF17" s="30">
        <v>41944</v>
      </c>
      <c r="AG17" s="30">
        <v>41974</v>
      </c>
      <c r="AH17" s="30">
        <v>42005</v>
      </c>
      <c r="AI17" s="30">
        <v>42036</v>
      </c>
      <c r="AJ17" s="30">
        <v>42064</v>
      </c>
      <c r="AK17" s="30">
        <v>42095</v>
      </c>
      <c r="AL17" s="30">
        <v>42125</v>
      </c>
      <c r="AM17" s="30">
        <v>42156</v>
      </c>
      <c r="AN17" s="30">
        <v>42186</v>
      </c>
      <c r="AO17" s="30">
        <v>42217</v>
      </c>
      <c r="AP17" s="30">
        <v>42248</v>
      </c>
      <c r="AQ17" s="30">
        <v>42278</v>
      </c>
      <c r="AR17" s="30">
        <v>42309</v>
      </c>
      <c r="AS17" s="30">
        <v>42339</v>
      </c>
      <c r="AT17" s="30">
        <v>42370</v>
      </c>
      <c r="AU17" s="30">
        <v>42401</v>
      </c>
      <c r="AV17" s="30">
        <v>42430</v>
      </c>
      <c r="AW17" s="30">
        <v>42461</v>
      </c>
      <c r="AX17" s="30">
        <v>42491</v>
      </c>
      <c r="AY17" s="30">
        <v>42522</v>
      </c>
      <c r="AZ17" s="30">
        <v>42552</v>
      </c>
      <c r="BA17" s="30">
        <v>42583</v>
      </c>
      <c r="BB17" s="30">
        <v>42614</v>
      </c>
      <c r="BC17" s="30">
        <v>42644</v>
      </c>
      <c r="BD17" s="30">
        <v>42675</v>
      </c>
      <c r="BE17" s="30">
        <v>42705</v>
      </c>
      <c r="BF17" s="30">
        <v>42736</v>
      </c>
      <c r="BG17" s="30">
        <v>42767</v>
      </c>
      <c r="BH17" s="30">
        <v>42795</v>
      </c>
      <c r="BI17" s="30">
        <v>42826</v>
      </c>
      <c r="BJ17" s="30">
        <v>42856</v>
      </c>
      <c r="BK17" s="30">
        <v>42887</v>
      </c>
      <c r="BL17" s="30">
        <v>42917</v>
      </c>
      <c r="BM17" s="30">
        <v>42948</v>
      </c>
      <c r="BN17" s="30">
        <v>42979</v>
      </c>
      <c r="BO17" s="30">
        <v>43009</v>
      </c>
      <c r="BP17" s="30">
        <v>43040</v>
      </c>
      <c r="BQ17" s="30">
        <v>43070</v>
      </c>
      <c r="BR17" s="30">
        <v>43101</v>
      </c>
      <c r="BS17" s="30">
        <v>43132</v>
      </c>
      <c r="BT17" s="30">
        <v>43160</v>
      </c>
      <c r="BU17" s="30">
        <v>43191</v>
      </c>
      <c r="BV17" s="30">
        <v>43221</v>
      </c>
      <c r="BW17" s="30">
        <v>43252</v>
      </c>
      <c r="BX17" s="30">
        <v>43282</v>
      </c>
      <c r="BY17" s="30">
        <v>43313</v>
      </c>
      <c r="BZ17" s="30">
        <v>43344</v>
      </c>
      <c r="CA17" s="30">
        <v>43374</v>
      </c>
      <c r="CB17" s="30">
        <v>43405</v>
      </c>
      <c r="CC17" s="30">
        <v>43435</v>
      </c>
      <c r="CD17" s="30">
        <v>43466</v>
      </c>
      <c r="CE17" s="30">
        <v>43497</v>
      </c>
      <c r="CF17" s="30">
        <v>43525</v>
      </c>
      <c r="CG17" s="30">
        <v>43556</v>
      </c>
      <c r="CH17" s="30">
        <v>43586</v>
      </c>
      <c r="CI17" s="30">
        <v>43617</v>
      </c>
      <c r="CJ17" s="30">
        <v>43647</v>
      </c>
      <c r="CK17" s="30">
        <v>43678</v>
      </c>
      <c r="CL17" s="30">
        <v>43709</v>
      </c>
      <c r="CM17" s="30">
        <v>43739</v>
      </c>
      <c r="CN17" s="30">
        <v>43770</v>
      </c>
      <c r="CO17" s="30">
        <v>43800</v>
      </c>
      <c r="CP17" s="30">
        <v>43831</v>
      </c>
      <c r="CQ17" s="30">
        <v>43862</v>
      </c>
      <c r="CR17" s="30">
        <v>43891</v>
      </c>
      <c r="CS17" s="30">
        <v>43922</v>
      </c>
      <c r="CT17" s="30">
        <v>43952</v>
      </c>
      <c r="CU17" s="30">
        <v>43983</v>
      </c>
      <c r="CV17" s="30">
        <v>44013</v>
      </c>
      <c r="CW17" s="30">
        <v>44044</v>
      </c>
      <c r="CX17" s="30">
        <v>44075</v>
      </c>
      <c r="CY17" s="30">
        <v>44105</v>
      </c>
      <c r="CZ17" s="30">
        <v>44136</v>
      </c>
      <c r="DA17" s="30">
        <v>44166</v>
      </c>
      <c r="DB17" s="30">
        <v>44197</v>
      </c>
      <c r="DC17" s="30">
        <v>44228</v>
      </c>
      <c r="DD17" s="30">
        <v>44256</v>
      </c>
      <c r="DE17" s="30">
        <v>44287</v>
      </c>
      <c r="DF17" s="30">
        <v>44317</v>
      </c>
      <c r="DG17" s="30">
        <v>44348</v>
      </c>
      <c r="DH17" s="30">
        <v>44378</v>
      </c>
      <c r="DI17" s="30">
        <v>44409</v>
      </c>
      <c r="DJ17" s="30">
        <v>44440</v>
      </c>
      <c r="DK17" s="30">
        <v>44470</v>
      </c>
      <c r="DL17" s="30">
        <v>44501</v>
      </c>
      <c r="DM17" s="30">
        <v>44531</v>
      </c>
      <c r="DN17" s="30">
        <v>44562</v>
      </c>
      <c r="DO17" s="30">
        <v>44593</v>
      </c>
      <c r="DP17" s="30">
        <v>44621</v>
      </c>
      <c r="DQ17" s="30">
        <v>44652</v>
      </c>
      <c r="DR17" s="30">
        <v>44682</v>
      </c>
      <c r="DS17" s="30">
        <v>44713</v>
      </c>
      <c r="DT17" s="30">
        <v>44743</v>
      </c>
      <c r="DU17" s="30">
        <v>44774</v>
      </c>
      <c r="DV17" s="30">
        <v>44805</v>
      </c>
      <c r="DW17" s="30">
        <v>44835</v>
      </c>
      <c r="DX17" s="30">
        <v>44866</v>
      </c>
      <c r="DY17" s="30">
        <v>44896</v>
      </c>
      <c r="DZ17" s="30">
        <v>44927</v>
      </c>
      <c r="EA17" s="30">
        <v>44958</v>
      </c>
      <c r="EB17" s="30">
        <v>44986</v>
      </c>
      <c r="EC17" s="30">
        <v>45017</v>
      </c>
      <c r="ED17" s="30">
        <v>45047</v>
      </c>
      <c r="EE17" s="30">
        <v>45078</v>
      </c>
      <c r="EF17" s="30">
        <v>45108</v>
      </c>
      <c r="EG17" s="30">
        <v>45139</v>
      </c>
      <c r="EH17" s="30"/>
      <c r="EI17" s="30"/>
    </row>
    <row r="18" spans="1:139" x14ac:dyDescent="0.25">
      <c r="B18" s="35" t="s">
        <v>12</v>
      </c>
      <c r="C18" s="7">
        <v>100</v>
      </c>
      <c r="D18">
        <v>440</v>
      </c>
      <c r="F18">
        <f>C18</f>
        <v>100</v>
      </c>
      <c r="G18">
        <f t="shared" ref="G18:G23" si="0">F18</f>
        <v>100</v>
      </c>
      <c r="H18">
        <f t="shared" ref="H18:N23" si="1">G18</f>
        <v>100</v>
      </c>
      <c r="I18">
        <f t="shared" si="1"/>
        <v>100</v>
      </c>
      <c r="J18">
        <f t="shared" si="1"/>
        <v>100</v>
      </c>
      <c r="K18">
        <f t="shared" si="1"/>
        <v>100</v>
      </c>
      <c r="L18">
        <f t="shared" si="1"/>
        <v>100</v>
      </c>
      <c r="M18">
        <f t="shared" si="1"/>
        <v>100</v>
      </c>
      <c r="N18">
        <f t="shared" si="1"/>
        <v>100</v>
      </c>
      <c r="O18">
        <f t="shared" ref="O18:O23" si="2">N18</f>
        <v>100</v>
      </c>
      <c r="P18">
        <f t="shared" ref="P18:P23" si="3">O18</f>
        <v>100</v>
      </c>
      <c r="Q18">
        <v>90</v>
      </c>
      <c r="R18">
        <v>100</v>
      </c>
      <c r="S18">
        <v>110</v>
      </c>
      <c r="T18">
        <v>120</v>
      </c>
      <c r="U18">
        <v>70</v>
      </c>
      <c r="V18">
        <v>120</v>
      </c>
      <c r="W18">
        <v>120</v>
      </c>
      <c r="X18">
        <v>110</v>
      </c>
      <c r="Y18">
        <v>110</v>
      </c>
      <c r="Z18">
        <v>110</v>
      </c>
      <c r="AA18">
        <v>110</v>
      </c>
      <c r="AB18">
        <v>110</v>
      </c>
      <c r="AC18">
        <v>110</v>
      </c>
      <c r="AD18">
        <v>110</v>
      </c>
      <c r="AE18">
        <v>110</v>
      </c>
      <c r="AF18">
        <v>110</v>
      </c>
      <c r="AG18">
        <v>110</v>
      </c>
      <c r="AH18">
        <f t="shared" ref="AH18:AH23" si="4">AG18</f>
        <v>110</v>
      </c>
      <c r="AI18">
        <f t="shared" ref="AI18:AI23" si="5">AH18</f>
        <v>110</v>
      </c>
      <c r="AJ18">
        <f t="shared" ref="AJ18:AJ23" si="6">AI18</f>
        <v>110</v>
      </c>
      <c r="AK18">
        <f t="shared" ref="AK18:AK23" si="7">AJ18</f>
        <v>110</v>
      </c>
      <c r="AL18">
        <f t="shared" ref="AL18:AL23" si="8">AK18</f>
        <v>110</v>
      </c>
      <c r="AM18">
        <f t="shared" ref="AM18:AM23" si="9">AL18</f>
        <v>110</v>
      </c>
      <c r="AN18">
        <f t="shared" ref="AN18:AN23" si="10">AM18</f>
        <v>110</v>
      </c>
      <c r="AO18">
        <f t="shared" ref="AO18:AO23" si="11">AN18</f>
        <v>110</v>
      </c>
      <c r="AP18">
        <f t="shared" ref="AP18:AP23" si="12">AO18</f>
        <v>110</v>
      </c>
      <c r="AQ18">
        <f t="shared" ref="AQ18:AQ23" si="13">AP18</f>
        <v>110</v>
      </c>
      <c r="AR18">
        <f t="shared" ref="AR18:AR23" si="14">AQ18</f>
        <v>110</v>
      </c>
      <c r="AS18">
        <f t="shared" ref="AS18:AS23" si="15">AR18</f>
        <v>110</v>
      </c>
      <c r="AT18">
        <f t="shared" ref="AT18:AT23" si="16">AS18</f>
        <v>110</v>
      </c>
      <c r="AU18">
        <f t="shared" ref="AU18:AU23" si="17">AT18</f>
        <v>110</v>
      </c>
      <c r="AV18">
        <f t="shared" ref="AV18:AV23" si="18">AU18</f>
        <v>110</v>
      </c>
      <c r="AW18">
        <f t="shared" ref="AW18:AW23" si="19">AV18</f>
        <v>110</v>
      </c>
      <c r="AX18">
        <f t="shared" ref="AX18:AX23" si="20">AW18</f>
        <v>110</v>
      </c>
      <c r="AY18">
        <f t="shared" ref="AY18:AY23" si="21">AX18</f>
        <v>110</v>
      </c>
      <c r="AZ18">
        <f t="shared" ref="AZ18:AZ23" si="22">AY18</f>
        <v>110</v>
      </c>
      <c r="BA18">
        <f t="shared" ref="BA18:BA23" si="23">AZ18</f>
        <v>110</v>
      </c>
      <c r="BB18">
        <f t="shared" ref="BB18:BB23" si="24">BA18</f>
        <v>110</v>
      </c>
      <c r="BC18">
        <f t="shared" ref="BC18:BC23" si="25">BB18</f>
        <v>110</v>
      </c>
      <c r="BD18">
        <f t="shared" ref="BD18:BD23" si="26">BC18</f>
        <v>110</v>
      </c>
      <c r="BE18">
        <f t="shared" ref="BE18:BE23" si="27">BD18</f>
        <v>110</v>
      </c>
      <c r="BF18">
        <f t="shared" ref="BF18:BF23" si="28">BE18</f>
        <v>110</v>
      </c>
      <c r="BG18">
        <f t="shared" ref="BG18:BG23" si="29">BF18</f>
        <v>110</v>
      </c>
      <c r="BH18">
        <f t="shared" ref="BH18:BH23" si="30">BG18</f>
        <v>110</v>
      </c>
      <c r="BI18">
        <f t="shared" ref="BI18:BI23" si="31">BH18</f>
        <v>110</v>
      </c>
      <c r="BJ18">
        <f t="shared" ref="BJ18:BJ23" si="32">BI18</f>
        <v>110</v>
      </c>
      <c r="BK18">
        <f t="shared" ref="BK18:BK23" si="33">BJ18</f>
        <v>110</v>
      </c>
      <c r="BL18">
        <f t="shared" ref="BL18:BL23" si="34">BK18</f>
        <v>110</v>
      </c>
      <c r="BM18">
        <f t="shared" ref="BM18:BM23" si="35">BL18</f>
        <v>110</v>
      </c>
      <c r="BN18">
        <f t="shared" ref="BN18:BN23" si="36">BM18</f>
        <v>110</v>
      </c>
      <c r="BO18">
        <f t="shared" ref="BO18:BO23" si="37">BN18</f>
        <v>110</v>
      </c>
      <c r="BP18">
        <f t="shared" ref="BP18:BP23" si="38">BO18</f>
        <v>110</v>
      </c>
      <c r="BQ18">
        <f t="shared" ref="BQ18:BQ23" si="39">BP18</f>
        <v>110</v>
      </c>
      <c r="BR18">
        <f t="shared" ref="BR18:BR23" si="40">BQ18</f>
        <v>110</v>
      </c>
      <c r="BS18">
        <f t="shared" ref="BS18:BS23" si="41">BR18</f>
        <v>110</v>
      </c>
      <c r="BT18">
        <f t="shared" ref="BT18:BT23" si="42">BS18</f>
        <v>110</v>
      </c>
      <c r="BU18">
        <f t="shared" ref="BU18:BU23" si="43">BT18</f>
        <v>110</v>
      </c>
      <c r="BV18">
        <f t="shared" ref="BV18:BV23" si="44">BU18</f>
        <v>110</v>
      </c>
      <c r="BW18">
        <f t="shared" ref="BW18:BW23" si="45">BV18</f>
        <v>110</v>
      </c>
      <c r="BX18">
        <f t="shared" ref="BX18:BX23" si="46">BW18</f>
        <v>110</v>
      </c>
      <c r="BY18">
        <f t="shared" ref="BY18:BY23" si="47">BX18</f>
        <v>110</v>
      </c>
      <c r="BZ18">
        <f t="shared" ref="BZ18:BZ23" si="48">BY18</f>
        <v>110</v>
      </c>
      <c r="CA18">
        <f t="shared" ref="CA18:CA23" si="49">BZ18</f>
        <v>110</v>
      </c>
      <c r="CB18">
        <f t="shared" ref="CB18:CB23" si="50">CA18</f>
        <v>110</v>
      </c>
      <c r="CC18">
        <f t="shared" ref="CC18:CC23" si="51">CB18</f>
        <v>110</v>
      </c>
      <c r="CD18">
        <f t="shared" ref="CD18:CD23" si="52">CC18</f>
        <v>110</v>
      </c>
      <c r="CE18">
        <f t="shared" ref="CE18:CE23" si="53">CD18</f>
        <v>110</v>
      </c>
      <c r="CF18">
        <f t="shared" ref="CF18:CF23" si="54">CE18</f>
        <v>110</v>
      </c>
      <c r="CG18">
        <f t="shared" ref="CG18:CG23" si="55">CF18</f>
        <v>110</v>
      </c>
      <c r="CH18">
        <f t="shared" ref="CH18:CH23" si="56">CG18</f>
        <v>110</v>
      </c>
      <c r="CI18">
        <f t="shared" ref="CI18:CI23" si="57">CH18</f>
        <v>110</v>
      </c>
      <c r="CJ18">
        <f t="shared" ref="CJ18:CJ23" si="58">CI18</f>
        <v>110</v>
      </c>
      <c r="CK18">
        <f t="shared" ref="CK18:CK23" si="59">CJ18</f>
        <v>110</v>
      </c>
      <c r="CL18">
        <f t="shared" ref="CL18:CL23" si="60">CK18</f>
        <v>110</v>
      </c>
      <c r="CM18">
        <f t="shared" ref="CM18:CM23" si="61">CL18</f>
        <v>110</v>
      </c>
      <c r="CN18">
        <f t="shared" ref="CN18:CN23" si="62">CM18</f>
        <v>110</v>
      </c>
      <c r="CO18">
        <f t="shared" ref="CO18:CO23" si="63">CN18</f>
        <v>110</v>
      </c>
      <c r="CP18">
        <f t="shared" ref="CP18:CP23" si="64">CO18</f>
        <v>110</v>
      </c>
      <c r="CQ18">
        <f t="shared" ref="CQ18:CQ23" si="65">CP18</f>
        <v>110</v>
      </c>
      <c r="CR18">
        <f t="shared" ref="CR18:CR23" si="66">CQ18</f>
        <v>110</v>
      </c>
      <c r="CS18">
        <f t="shared" ref="CS18:CS23" si="67">CR18</f>
        <v>110</v>
      </c>
      <c r="CT18">
        <f t="shared" ref="CT18:CT23" si="68">CS18</f>
        <v>110</v>
      </c>
      <c r="CU18">
        <f t="shared" ref="CU18:CU23" si="69">CT18</f>
        <v>110</v>
      </c>
      <c r="CV18">
        <f t="shared" ref="CV18:CV23" si="70">CU18</f>
        <v>110</v>
      </c>
      <c r="CW18">
        <f t="shared" ref="CW18:CW23" si="71">CV18</f>
        <v>110</v>
      </c>
      <c r="CX18">
        <f t="shared" ref="CX18:CX23" si="72">CW18</f>
        <v>110</v>
      </c>
      <c r="CY18">
        <f t="shared" ref="CY18:CY23" si="73">CX18</f>
        <v>110</v>
      </c>
      <c r="CZ18">
        <f t="shared" ref="CZ18:CZ23" si="74">CY18</f>
        <v>110</v>
      </c>
      <c r="DA18">
        <f t="shared" ref="DA18:DA23" si="75">CZ18</f>
        <v>110</v>
      </c>
      <c r="DB18">
        <f t="shared" ref="DB18:DB23" si="76">DA18</f>
        <v>110</v>
      </c>
      <c r="DC18">
        <f t="shared" ref="DC18:DC23" si="77">DB18</f>
        <v>110</v>
      </c>
      <c r="DD18">
        <f t="shared" ref="DD18:DD23" si="78">DC18</f>
        <v>110</v>
      </c>
      <c r="DE18">
        <f t="shared" ref="DE18:DE23" si="79">DD18</f>
        <v>110</v>
      </c>
      <c r="DF18">
        <f t="shared" ref="DF18:DF23" si="80">DE18</f>
        <v>110</v>
      </c>
      <c r="DG18">
        <f t="shared" ref="DG18:DG23" si="81">DF18</f>
        <v>110</v>
      </c>
      <c r="DH18">
        <f t="shared" ref="DH18:DH23" si="82">DG18</f>
        <v>110</v>
      </c>
      <c r="DI18">
        <f t="shared" ref="DI18:DI23" si="83">DH18</f>
        <v>110</v>
      </c>
      <c r="DJ18">
        <f t="shared" ref="DJ18:DJ23" si="84">DI18</f>
        <v>110</v>
      </c>
      <c r="DK18">
        <f t="shared" ref="DK18:DK23" si="85">DJ18</f>
        <v>110</v>
      </c>
      <c r="DL18">
        <f t="shared" ref="DL18:DL23" si="86">DK18</f>
        <v>110</v>
      </c>
      <c r="DM18">
        <f t="shared" ref="DM18:DM23" si="87">DL18</f>
        <v>110</v>
      </c>
      <c r="DN18">
        <f t="shared" ref="DN18:DN23" si="88">DM18</f>
        <v>110</v>
      </c>
      <c r="DO18">
        <f t="shared" ref="DO18:DO23" si="89">DN18</f>
        <v>110</v>
      </c>
      <c r="DP18">
        <f t="shared" ref="DP18:DP23" si="90">DO18</f>
        <v>110</v>
      </c>
      <c r="DQ18">
        <f t="shared" ref="DQ18:DQ23" si="91">DP18</f>
        <v>110</v>
      </c>
      <c r="DR18">
        <f t="shared" ref="DR18:DR23" si="92">DQ18</f>
        <v>110</v>
      </c>
      <c r="DS18">
        <f t="shared" ref="DS18:DS23" si="93">DR18</f>
        <v>110</v>
      </c>
      <c r="DT18">
        <f t="shared" ref="DT18:DT23" si="94">DS18</f>
        <v>110</v>
      </c>
      <c r="DU18">
        <f t="shared" ref="DU18:DU23" si="95">DT18</f>
        <v>110</v>
      </c>
      <c r="DV18">
        <f t="shared" ref="DV18:DV23" si="96">DU18</f>
        <v>110</v>
      </c>
      <c r="DW18">
        <f t="shared" ref="DW18:DW23" si="97">DV18</f>
        <v>110</v>
      </c>
      <c r="DX18">
        <f t="shared" ref="DX18:DX23" si="98">DW18</f>
        <v>110</v>
      </c>
      <c r="DY18">
        <f t="shared" ref="DY18:DY23" si="99">DX18</f>
        <v>110</v>
      </c>
      <c r="DZ18">
        <f t="shared" ref="DZ18:DZ23" si="100">DY18</f>
        <v>110</v>
      </c>
      <c r="EA18">
        <f t="shared" ref="EA18:EA23" si="101">DZ18</f>
        <v>110</v>
      </c>
      <c r="EB18">
        <f t="shared" ref="EB18:EB23" si="102">EA18</f>
        <v>110</v>
      </c>
      <c r="EC18">
        <f t="shared" ref="EC18:EC23" si="103">EB18</f>
        <v>110</v>
      </c>
      <c r="ED18">
        <f t="shared" ref="ED18:ED23" si="104">EC18</f>
        <v>110</v>
      </c>
      <c r="EE18">
        <f t="shared" ref="EE18:EE23" si="105">ED18</f>
        <v>110</v>
      </c>
      <c r="EF18">
        <f t="shared" ref="EF18:EF23" si="106">EE18</f>
        <v>110</v>
      </c>
      <c r="EG18">
        <f t="shared" ref="EG18:EG23" si="107">EF18</f>
        <v>110</v>
      </c>
    </row>
    <row r="19" spans="1:139" x14ac:dyDescent="0.25">
      <c r="B19" s="20" t="s">
        <v>126</v>
      </c>
      <c r="C19" s="7">
        <v>30</v>
      </c>
      <c r="D19">
        <v>370</v>
      </c>
      <c r="F19">
        <f>$C19</f>
        <v>30</v>
      </c>
      <c r="G19">
        <f t="shared" si="0"/>
        <v>30</v>
      </c>
      <c r="H19">
        <f t="shared" si="1"/>
        <v>30</v>
      </c>
      <c r="I19">
        <f t="shared" si="1"/>
        <v>30</v>
      </c>
      <c r="J19">
        <f t="shared" si="1"/>
        <v>30</v>
      </c>
      <c r="K19">
        <f t="shared" si="1"/>
        <v>30</v>
      </c>
      <c r="L19">
        <f t="shared" si="1"/>
        <v>30</v>
      </c>
      <c r="M19">
        <f t="shared" si="1"/>
        <v>30</v>
      </c>
      <c r="N19">
        <f t="shared" si="1"/>
        <v>30</v>
      </c>
      <c r="O19">
        <f t="shared" si="2"/>
        <v>30</v>
      </c>
      <c r="P19">
        <f t="shared" si="3"/>
        <v>30</v>
      </c>
      <c r="Q19">
        <f t="shared" ref="Q19" si="108">P19</f>
        <v>30</v>
      </c>
      <c r="R19">
        <f t="shared" ref="R19" si="109">Q19</f>
        <v>30</v>
      </c>
      <c r="S19">
        <f t="shared" ref="S19" si="110">R19</f>
        <v>30</v>
      </c>
      <c r="T19">
        <f t="shared" ref="T19" si="111">S19</f>
        <v>30</v>
      </c>
      <c r="U19">
        <f t="shared" ref="U19" si="112">T19</f>
        <v>30</v>
      </c>
      <c r="V19">
        <f t="shared" ref="V19" si="113">U19</f>
        <v>30</v>
      </c>
      <c r="W19">
        <f t="shared" ref="W19" si="114">V19</f>
        <v>30</v>
      </c>
      <c r="X19">
        <f t="shared" ref="X19" si="115">W19</f>
        <v>30</v>
      </c>
      <c r="Y19">
        <f t="shared" ref="Y19" si="116">X19</f>
        <v>30</v>
      </c>
      <c r="Z19">
        <f t="shared" ref="Z19" si="117">Y19</f>
        <v>30</v>
      </c>
      <c r="AA19">
        <f t="shared" ref="AA19" si="118">Z19</f>
        <v>30</v>
      </c>
      <c r="AB19">
        <f t="shared" ref="AB19" si="119">AA19</f>
        <v>30</v>
      </c>
      <c r="AC19">
        <f t="shared" ref="AC19" si="120">AB19</f>
        <v>30</v>
      </c>
      <c r="AD19">
        <f t="shared" ref="AD19" si="121">AC19</f>
        <v>30</v>
      </c>
      <c r="AE19">
        <f t="shared" ref="AE19" si="122">AD19</f>
        <v>30</v>
      </c>
      <c r="AF19">
        <f t="shared" ref="AF19" si="123">AE19</f>
        <v>30</v>
      </c>
      <c r="AG19">
        <f t="shared" ref="AG19" si="124">AF19</f>
        <v>30</v>
      </c>
      <c r="AH19">
        <f t="shared" si="4"/>
        <v>30</v>
      </c>
      <c r="AI19">
        <f t="shared" si="5"/>
        <v>30</v>
      </c>
      <c r="AJ19">
        <f t="shared" si="6"/>
        <v>30</v>
      </c>
      <c r="AK19">
        <f t="shared" si="7"/>
        <v>30</v>
      </c>
      <c r="AL19">
        <f t="shared" si="8"/>
        <v>30</v>
      </c>
      <c r="AM19">
        <f t="shared" si="9"/>
        <v>30</v>
      </c>
      <c r="AN19">
        <f t="shared" si="10"/>
        <v>30</v>
      </c>
      <c r="AO19">
        <f t="shared" si="11"/>
        <v>30</v>
      </c>
      <c r="AP19">
        <f t="shared" si="12"/>
        <v>30</v>
      </c>
      <c r="AQ19">
        <f t="shared" si="13"/>
        <v>30</v>
      </c>
      <c r="AR19">
        <f t="shared" si="14"/>
        <v>30</v>
      </c>
      <c r="AS19">
        <f t="shared" si="15"/>
        <v>30</v>
      </c>
      <c r="AT19">
        <f t="shared" si="16"/>
        <v>30</v>
      </c>
      <c r="AU19">
        <f t="shared" si="17"/>
        <v>30</v>
      </c>
      <c r="AV19">
        <f t="shared" si="18"/>
        <v>30</v>
      </c>
      <c r="AW19">
        <f t="shared" si="19"/>
        <v>30</v>
      </c>
      <c r="AX19">
        <f t="shared" si="20"/>
        <v>30</v>
      </c>
      <c r="AY19">
        <f t="shared" si="21"/>
        <v>30</v>
      </c>
      <c r="AZ19">
        <f t="shared" si="22"/>
        <v>30</v>
      </c>
      <c r="BA19">
        <f t="shared" si="23"/>
        <v>30</v>
      </c>
      <c r="BB19">
        <f t="shared" si="24"/>
        <v>30</v>
      </c>
      <c r="BC19">
        <f t="shared" si="25"/>
        <v>30</v>
      </c>
      <c r="BD19">
        <f t="shared" si="26"/>
        <v>30</v>
      </c>
      <c r="BE19">
        <f t="shared" si="27"/>
        <v>30</v>
      </c>
      <c r="BF19">
        <f t="shared" si="28"/>
        <v>30</v>
      </c>
      <c r="BG19">
        <f t="shared" si="29"/>
        <v>30</v>
      </c>
      <c r="BH19">
        <f t="shared" si="30"/>
        <v>30</v>
      </c>
      <c r="BI19">
        <f t="shared" si="31"/>
        <v>30</v>
      </c>
      <c r="BJ19">
        <f t="shared" si="32"/>
        <v>30</v>
      </c>
      <c r="BK19">
        <f t="shared" si="33"/>
        <v>30</v>
      </c>
      <c r="BL19">
        <f t="shared" si="34"/>
        <v>30</v>
      </c>
      <c r="BM19">
        <f t="shared" si="35"/>
        <v>30</v>
      </c>
      <c r="BN19">
        <f t="shared" si="36"/>
        <v>30</v>
      </c>
      <c r="BO19">
        <f t="shared" si="37"/>
        <v>30</v>
      </c>
      <c r="BP19">
        <f t="shared" si="38"/>
        <v>30</v>
      </c>
      <c r="BQ19">
        <f t="shared" si="39"/>
        <v>30</v>
      </c>
      <c r="BR19">
        <f t="shared" si="40"/>
        <v>30</v>
      </c>
      <c r="BS19">
        <f t="shared" si="41"/>
        <v>30</v>
      </c>
      <c r="BT19">
        <f t="shared" si="42"/>
        <v>30</v>
      </c>
      <c r="BU19">
        <f t="shared" si="43"/>
        <v>30</v>
      </c>
      <c r="BV19">
        <f t="shared" si="44"/>
        <v>30</v>
      </c>
      <c r="BW19">
        <f t="shared" si="45"/>
        <v>30</v>
      </c>
      <c r="BX19">
        <f t="shared" si="46"/>
        <v>30</v>
      </c>
      <c r="BY19">
        <f t="shared" si="47"/>
        <v>30</v>
      </c>
      <c r="BZ19">
        <f t="shared" si="48"/>
        <v>30</v>
      </c>
      <c r="CA19">
        <f t="shared" si="49"/>
        <v>30</v>
      </c>
      <c r="CB19">
        <f t="shared" si="50"/>
        <v>30</v>
      </c>
      <c r="CC19">
        <f t="shared" si="51"/>
        <v>30</v>
      </c>
      <c r="CD19">
        <f t="shared" si="52"/>
        <v>30</v>
      </c>
      <c r="CE19">
        <f t="shared" si="53"/>
        <v>30</v>
      </c>
      <c r="CF19">
        <f t="shared" si="54"/>
        <v>30</v>
      </c>
      <c r="CG19">
        <f t="shared" si="55"/>
        <v>30</v>
      </c>
      <c r="CH19">
        <f t="shared" si="56"/>
        <v>30</v>
      </c>
      <c r="CI19">
        <f t="shared" si="57"/>
        <v>30</v>
      </c>
      <c r="CJ19">
        <f t="shared" si="58"/>
        <v>30</v>
      </c>
      <c r="CK19">
        <f t="shared" si="59"/>
        <v>30</v>
      </c>
      <c r="CL19">
        <f t="shared" si="60"/>
        <v>30</v>
      </c>
      <c r="CM19">
        <f t="shared" si="61"/>
        <v>30</v>
      </c>
      <c r="CN19">
        <f t="shared" si="62"/>
        <v>30</v>
      </c>
      <c r="CO19">
        <f t="shared" si="63"/>
        <v>30</v>
      </c>
      <c r="CP19">
        <f t="shared" si="64"/>
        <v>30</v>
      </c>
      <c r="CQ19">
        <f t="shared" si="65"/>
        <v>30</v>
      </c>
      <c r="CR19">
        <f t="shared" si="66"/>
        <v>30</v>
      </c>
      <c r="CS19">
        <f t="shared" si="67"/>
        <v>30</v>
      </c>
      <c r="CT19">
        <f t="shared" si="68"/>
        <v>30</v>
      </c>
      <c r="CU19">
        <f t="shared" si="69"/>
        <v>30</v>
      </c>
      <c r="CV19">
        <f t="shared" si="70"/>
        <v>30</v>
      </c>
      <c r="CW19">
        <f t="shared" si="71"/>
        <v>30</v>
      </c>
      <c r="CX19">
        <f t="shared" si="72"/>
        <v>30</v>
      </c>
      <c r="CY19">
        <f t="shared" si="73"/>
        <v>30</v>
      </c>
      <c r="CZ19">
        <f t="shared" si="74"/>
        <v>30</v>
      </c>
      <c r="DA19">
        <f t="shared" si="75"/>
        <v>30</v>
      </c>
      <c r="DB19">
        <f t="shared" si="76"/>
        <v>30</v>
      </c>
      <c r="DC19">
        <f t="shared" si="77"/>
        <v>30</v>
      </c>
      <c r="DD19">
        <f t="shared" si="78"/>
        <v>30</v>
      </c>
      <c r="DE19">
        <f t="shared" si="79"/>
        <v>30</v>
      </c>
      <c r="DF19">
        <f t="shared" si="80"/>
        <v>30</v>
      </c>
      <c r="DG19">
        <f t="shared" si="81"/>
        <v>30</v>
      </c>
      <c r="DH19">
        <f t="shared" si="82"/>
        <v>30</v>
      </c>
      <c r="DI19">
        <f t="shared" si="83"/>
        <v>30</v>
      </c>
      <c r="DJ19">
        <f t="shared" si="84"/>
        <v>30</v>
      </c>
      <c r="DK19">
        <f t="shared" si="85"/>
        <v>30</v>
      </c>
      <c r="DL19">
        <f t="shared" si="86"/>
        <v>30</v>
      </c>
      <c r="DM19">
        <f t="shared" si="87"/>
        <v>30</v>
      </c>
      <c r="DN19">
        <f t="shared" si="88"/>
        <v>30</v>
      </c>
      <c r="DO19">
        <f t="shared" si="89"/>
        <v>30</v>
      </c>
      <c r="DP19">
        <f t="shared" si="90"/>
        <v>30</v>
      </c>
      <c r="DQ19">
        <f t="shared" si="91"/>
        <v>30</v>
      </c>
      <c r="DR19">
        <f t="shared" si="92"/>
        <v>30</v>
      </c>
      <c r="DS19">
        <f t="shared" si="93"/>
        <v>30</v>
      </c>
      <c r="DT19">
        <f t="shared" si="94"/>
        <v>30</v>
      </c>
      <c r="DU19">
        <f t="shared" si="95"/>
        <v>30</v>
      </c>
      <c r="DV19">
        <f t="shared" si="96"/>
        <v>30</v>
      </c>
      <c r="DW19">
        <f t="shared" si="97"/>
        <v>30</v>
      </c>
      <c r="DX19">
        <f t="shared" si="98"/>
        <v>30</v>
      </c>
      <c r="DY19">
        <f t="shared" si="99"/>
        <v>30</v>
      </c>
      <c r="DZ19">
        <f t="shared" si="100"/>
        <v>30</v>
      </c>
      <c r="EA19">
        <f t="shared" si="101"/>
        <v>30</v>
      </c>
      <c r="EB19">
        <f t="shared" si="102"/>
        <v>30</v>
      </c>
      <c r="EC19">
        <f t="shared" si="103"/>
        <v>30</v>
      </c>
      <c r="ED19">
        <f t="shared" si="104"/>
        <v>30</v>
      </c>
      <c r="EE19">
        <f t="shared" si="105"/>
        <v>30</v>
      </c>
      <c r="EF19">
        <f t="shared" si="106"/>
        <v>30</v>
      </c>
      <c r="EG19">
        <f t="shared" si="107"/>
        <v>30</v>
      </c>
    </row>
    <row r="20" spans="1:139" x14ac:dyDescent="0.25">
      <c r="B20" s="28" t="s">
        <v>118</v>
      </c>
      <c r="C20" s="7">
        <v>60</v>
      </c>
      <c r="D20">
        <v>370</v>
      </c>
      <c r="F20">
        <f>$C20</f>
        <v>60</v>
      </c>
      <c r="G20">
        <f t="shared" si="0"/>
        <v>60</v>
      </c>
      <c r="H20">
        <f>G20</f>
        <v>60</v>
      </c>
      <c r="I20">
        <f t="shared" si="1"/>
        <v>60</v>
      </c>
      <c r="J20">
        <f t="shared" si="1"/>
        <v>60</v>
      </c>
      <c r="K20">
        <f t="shared" si="1"/>
        <v>60</v>
      </c>
      <c r="L20">
        <f t="shared" si="1"/>
        <v>60</v>
      </c>
      <c r="M20">
        <f t="shared" si="1"/>
        <v>60</v>
      </c>
      <c r="N20">
        <f t="shared" si="1"/>
        <v>60</v>
      </c>
      <c r="O20">
        <f t="shared" si="2"/>
        <v>60</v>
      </c>
      <c r="P20">
        <f t="shared" si="3"/>
        <v>60</v>
      </c>
      <c r="Q20">
        <v>64</v>
      </c>
      <c r="R20">
        <v>65</v>
      </c>
      <c r="S20">
        <v>65</v>
      </c>
      <c r="T20">
        <v>65</v>
      </c>
      <c r="U20">
        <v>48</v>
      </c>
      <c r="V20">
        <v>64</v>
      </c>
      <c r="W20">
        <v>58</v>
      </c>
      <c r="X20">
        <v>58</v>
      </c>
      <c r="Y20">
        <v>64</v>
      </c>
      <c r="Z20">
        <v>64</v>
      </c>
      <c r="AA20">
        <v>64</v>
      </c>
      <c r="AB20">
        <v>64</v>
      </c>
      <c r="AC20">
        <v>47</v>
      </c>
      <c r="AD20">
        <v>42</v>
      </c>
      <c r="AE20">
        <v>64</v>
      </c>
      <c r="AF20">
        <v>64</v>
      </c>
      <c r="AG20">
        <v>64</v>
      </c>
      <c r="AH20">
        <f t="shared" si="4"/>
        <v>64</v>
      </c>
      <c r="AI20">
        <f t="shared" si="5"/>
        <v>64</v>
      </c>
      <c r="AJ20">
        <f t="shared" si="6"/>
        <v>64</v>
      </c>
      <c r="AK20">
        <f t="shared" si="7"/>
        <v>64</v>
      </c>
      <c r="AL20">
        <f t="shared" si="8"/>
        <v>64</v>
      </c>
      <c r="AM20">
        <f t="shared" si="9"/>
        <v>64</v>
      </c>
      <c r="AN20">
        <f t="shared" si="10"/>
        <v>64</v>
      </c>
      <c r="AO20">
        <f t="shared" si="11"/>
        <v>64</v>
      </c>
      <c r="AP20">
        <f t="shared" si="12"/>
        <v>64</v>
      </c>
      <c r="AQ20">
        <f t="shared" si="13"/>
        <v>64</v>
      </c>
      <c r="AR20">
        <f t="shared" si="14"/>
        <v>64</v>
      </c>
      <c r="AS20">
        <f t="shared" si="15"/>
        <v>64</v>
      </c>
      <c r="AT20">
        <f t="shared" si="16"/>
        <v>64</v>
      </c>
      <c r="AU20">
        <f t="shared" si="17"/>
        <v>64</v>
      </c>
      <c r="AV20">
        <f t="shared" si="18"/>
        <v>64</v>
      </c>
      <c r="AW20">
        <f t="shared" si="19"/>
        <v>64</v>
      </c>
      <c r="AX20">
        <f t="shared" si="20"/>
        <v>64</v>
      </c>
      <c r="AY20">
        <f t="shared" si="21"/>
        <v>64</v>
      </c>
      <c r="AZ20">
        <f t="shared" si="22"/>
        <v>64</v>
      </c>
      <c r="BA20">
        <f t="shared" si="23"/>
        <v>64</v>
      </c>
      <c r="BB20">
        <f t="shared" si="24"/>
        <v>64</v>
      </c>
      <c r="BC20">
        <f t="shared" si="25"/>
        <v>64</v>
      </c>
      <c r="BD20">
        <f t="shared" si="26"/>
        <v>64</v>
      </c>
      <c r="BE20">
        <f t="shared" si="27"/>
        <v>64</v>
      </c>
      <c r="BF20">
        <f t="shared" si="28"/>
        <v>64</v>
      </c>
      <c r="BG20">
        <f t="shared" si="29"/>
        <v>64</v>
      </c>
      <c r="BH20">
        <f t="shared" si="30"/>
        <v>64</v>
      </c>
      <c r="BI20">
        <f t="shared" si="31"/>
        <v>64</v>
      </c>
      <c r="BJ20">
        <f t="shared" si="32"/>
        <v>64</v>
      </c>
      <c r="BK20">
        <f t="shared" si="33"/>
        <v>64</v>
      </c>
      <c r="BL20">
        <f t="shared" si="34"/>
        <v>64</v>
      </c>
      <c r="BM20">
        <f t="shared" si="35"/>
        <v>64</v>
      </c>
      <c r="BN20">
        <f t="shared" si="36"/>
        <v>64</v>
      </c>
      <c r="BO20">
        <f t="shared" si="37"/>
        <v>64</v>
      </c>
      <c r="BP20">
        <f t="shared" si="38"/>
        <v>64</v>
      </c>
      <c r="BQ20">
        <f t="shared" si="39"/>
        <v>64</v>
      </c>
      <c r="BR20">
        <f t="shared" si="40"/>
        <v>64</v>
      </c>
      <c r="BS20">
        <f t="shared" si="41"/>
        <v>64</v>
      </c>
      <c r="BT20">
        <f t="shared" si="42"/>
        <v>64</v>
      </c>
      <c r="BU20">
        <f t="shared" si="43"/>
        <v>64</v>
      </c>
      <c r="BV20">
        <f t="shared" si="44"/>
        <v>64</v>
      </c>
      <c r="BW20">
        <f t="shared" si="45"/>
        <v>64</v>
      </c>
      <c r="BX20">
        <f t="shared" si="46"/>
        <v>64</v>
      </c>
      <c r="BY20">
        <f t="shared" si="47"/>
        <v>64</v>
      </c>
      <c r="BZ20">
        <f t="shared" si="48"/>
        <v>64</v>
      </c>
      <c r="CA20">
        <f t="shared" si="49"/>
        <v>64</v>
      </c>
      <c r="CB20">
        <f t="shared" si="50"/>
        <v>64</v>
      </c>
      <c r="CC20">
        <f t="shared" si="51"/>
        <v>64</v>
      </c>
      <c r="CD20">
        <f t="shared" si="52"/>
        <v>64</v>
      </c>
      <c r="CE20">
        <f t="shared" si="53"/>
        <v>64</v>
      </c>
      <c r="CF20">
        <f t="shared" si="54"/>
        <v>64</v>
      </c>
      <c r="CG20">
        <f t="shared" si="55"/>
        <v>64</v>
      </c>
      <c r="CH20">
        <f t="shared" si="56"/>
        <v>64</v>
      </c>
      <c r="CI20">
        <f t="shared" si="57"/>
        <v>64</v>
      </c>
      <c r="CJ20">
        <f t="shared" si="58"/>
        <v>64</v>
      </c>
      <c r="CK20">
        <f t="shared" si="59"/>
        <v>64</v>
      </c>
      <c r="CL20">
        <f t="shared" si="60"/>
        <v>64</v>
      </c>
      <c r="CM20">
        <f t="shared" si="61"/>
        <v>64</v>
      </c>
      <c r="CN20">
        <f t="shared" si="62"/>
        <v>64</v>
      </c>
      <c r="CO20">
        <f t="shared" si="63"/>
        <v>64</v>
      </c>
      <c r="CP20">
        <f t="shared" si="64"/>
        <v>64</v>
      </c>
      <c r="CQ20">
        <f t="shared" si="65"/>
        <v>64</v>
      </c>
      <c r="CR20">
        <f t="shared" si="66"/>
        <v>64</v>
      </c>
      <c r="CS20">
        <f t="shared" si="67"/>
        <v>64</v>
      </c>
      <c r="CT20">
        <f t="shared" si="68"/>
        <v>64</v>
      </c>
      <c r="CU20">
        <f t="shared" si="69"/>
        <v>64</v>
      </c>
      <c r="CV20">
        <f t="shared" si="70"/>
        <v>64</v>
      </c>
      <c r="CW20">
        <f t="shared" si="71"/>
        <v>64</v>
      </c>
      <c r="CX20">
        <f t="shared" si="72"/>
        <v>64</v>
      </c>
      <c r="CY20">
        <f t="shared" si="73"/>
        <v>64</v>
      </c>
      <c r="CZ20">
        <f t="shared" si="74"/>
        <v>64</v>
      </c>
      <c r="DA20">
        <f t="shared" si="75"/>
        <v>64</v>
      </c>
      <c r="DB20">
        <f t="shared" si="76"/>
        <v>64</v>
      </c>
      <c r="DC20">
        <f t="shared" si="77"/>
        <v>64</v>
      </c>
      <c r="DD20">
        <f t="shared" si="78"/>
        <v>64</v>
      </c>
      <c r="DE20">
        <f t="shared" si="79"/>
        <v>64</v>
      </c>
      <c r="DF20">
        <f t="shared" si="80"/>
        <v>64</v>
      </c>
      <c r="DG20">
        <f t="shared" si="81"/>
        <v>64</v>
      </c>
      <c r="DH20">
        <f t="shared" si="82"/>
        <v>64</v>
      </c>
      <c r="DI20">
        <f t="shared" si="83"/>
        <v>64</v>
      </c>
      <c r="DJ20">
        <f t="shared" si="84"/>
        <v>64</v>
      </c>
      <c r="DK20">
        <f t="shared" si="85"/>
        <v>64</v>
      </c>
      <c r="DL20">
        <f t="shared" si="86"/>
        <v>64</v>
      </c>
      <c r="DM20">
        <f t="shared" si="87"/>
        <v>64</v>
      </c>
      <c r="DN20">
        <f t="shared" si="88"/>
        <v>64</v>
      </c>
      <c r="DO20">
        <f t="shared" si="89"/>
        <v>64</v>
      </c>
      <c r="DP20">
        <f t="shared" si="90"/>
        <v>64</v>
      </c>
      <c r="DQ20">
        <f t="shared" si="91"/>
        <v>64</v>
      </c>
      <c r="DR20">
        <f t="shared" si="92"/>
        <v>64</v>
      </c>
      <c r="DS20">
        <f t="shared" si="93"/>
        <v>64</v>
      </c>
      <c r="DT20">
        <f t="shared" si="94"/>
        <v>64</v>
      </c>
      <c r="DU20">
        <f t="shared" si="95"/>
        <v>64</v>
      </c>
      <c r="DV20">
        <f t="shared" si="96"/>
        <v>64</v>
      </c>
      <c r="DW20">
        <f t="shared" si="97"/>
        <v>64</v>
      </c>
      <c r="DX20">
        <f t="shared" si="98"/>
        <v>64</v>
      </c>
      <c r="DY20">
        <f t="shared" si="99"/>
        <v>64</v>
      </c>
      <c r="DZ20">
        <f t="shared" si="100"/>
        <v>64</v>
      </c>
      <c r="EA20">
        <f t="shared" si="101"/>
        <v>64</v>
      </c>
      <c r="EB20">
        <f t="shared" si="102"/>
        <v>64</v>
      </c>
      <c r="EC20">
        <f t="shared" si="103"/>
        <v>64</v>
      </c>
      <c r="ED20">
        <f t="shared" si="104"/>
        <v>64</v>
      </c>
      <c r="EE20">
        <f t="shared" si="105"/>
        <v>64</v>
      </c>
      <c r="EF20">
        <f t="shared" si="106"/>
        <v>64</v>
      </c>
      <c r="EG20">
        <f t="shared" si="107"/>
        <v>64</v>
      </c>
    </row>
    <row r="21" spans="1:139" x14ac:dyDescent="0.25">
      <c r="B21" s="27" t="s">
        <v>127</v>
      </c>
      <c r="C21" s="7">
        <v>40</v>
      </c>
      <c r="D21">
        <v>420</v>
      </c>
      <c r="F21">
        <f>$C21</f>
        <v>40</v>
      </c>
      <c r="G21">
        <f t="shared" si="0"/>
        <v>40</v>
      </c>
      <c r="H21">
        <f t="shared" ref="H21" si="125">G21</f>
        <v>40</v>
      </c>
      <c r="I21">
        <f t="shared" si="1"/>
        <v>40</v>
      </c>
      <c r="J21">
        <f t="shared" si="1"/>
        <v>40</v>
      </c>
      <c r="K21">
        <f t="shared" si="1"/>
        <v>40</v>
      </c>
      <c r="L21">
        <f t="shared" si="1"/>
        <v>40</v>
      </c>
      <c r="M21">
        <f t="shared" si="1"/>
        <v>40</v>
      </c>
      <c r="N21">
        <f t="shared" si="1"/>
        <v>40</v>
      </c>
      <c r="O21">
        <f t="shared" si="2"/>
        <v>40</v>
      </c>
      <c r="P21">
        <f t="shared" si="3"/>
        <v>40</v>
      </c>
      <c r="Q21">
        <v>40</v>
      </c>
      <c r="R21">
        <v>41</v>
      </c>
      <c r="S21">
        <v>41</v>
      </c>
      <c r="T21">
        <v>41</v>
      </c>
      <c r="U21">
        <v>29</v>
      </c>
      <c r="V21">
        <v>40</v>
      </c>
      <c r="W21">
        <v>34</v>
      </c>
      <c r="X21">
        <v>40</v>
      </c>
      <c r="Y21">
        <v>40</v>
      </c>
      <c r="Z21">
        <v>37</v>
      </c>
      <c r="AA21">
        <v>37</v>
      </c>
      <c r="AB21">
        <v>40</v>
      </c>
      <c r="AC21">
        <v>34</v>
      </c>
      <c r="AD21">
        <v>29</v>
      </c>
      <c r="AE21">
        <v>40</v>
      </c>
      <c r="AF21">
        <v>40</v>
      </c>
      <c r="AG21">
        <v>40</v>
      </c>
      <c r="AH21">
        <f t="shared" si="4"/>
        <v>40</v>
      </c>
      <c r="AI21">
        <f t="shared" si="5"/>
        <v>40</v>
      </c>
      <c r="AJ21">
        <f t="shared" si="6"/>
        <v>40</v>
      </c>
      <c r="AK21">
        <f t="shared" si="7"/>
        <v>40</v>
      </c>
      <c r="AL21">
        <f t="shared" si="8"/>
        <v>40</v>
      </c>
      <c r="AM21">
        <f t="shared" si="9"/>
        <v>40</v>
      </c>
      <c r="AN21">
        <f t="shared" si="10"/>
        <v>40</v>
      </c>
      <c r="AO21">
        <f t="shared" si="11"/>
        <v>40</v>
      </c>
      <c r="AP21">
        <f t="shared" si="12"/>
        <v>40</v>
      </c>
      <c r="AQ21">
        <f t="shared" si="13"/>
        <v>40</v>
      </c>
      <c r="AR21">
        <f t="shared" si="14"/>
        <v>40</v>
      </c>
      <c r="AS21">
        <f t="shared" si="15"/>
        <v>40</v>
      </c>
      <c r="AT21">
        <f t="shared" si="16"/>
        <v>40</v>
      </c>
      <c r="AU21">
        <f t="shared" si="17"/>
        <v>40</v>
      </c>
      <c r="AV21">
        <f t="shared" si="18"/>
        <v>40</v>
      </c>
      <c r="AW21">
        <f t="shared" si="19"/>
        <v>40</v>
      </c>
      <c r="AX21">
        <f t="shared" si="20"/>
        <v>40</v>
      </c>
      <c r="AY21">
        <f t="shared" si="21"/>
        <v>40</v>
      </c>
      <c r="AZ21">
        <f t="shared" si="22"/>
        <v>40</v>
      </c>
      <c r="BA21">
        <f t="shared" si="23"/>
        <v>40</v>
      </c>
      <c r="BB21">
        <f t="shared" si="24"/>
        <v>40</v>
      </c>
      <c r="BC21">
        <f t="shared" si="25"/>
        <v>40</v>
      </c>
      <c r="BD21">
        <f t="shared" si="26"/>
        <v>40</v>
      </c>
      <c r="BE21">
        <f t="shared" si="27"/>
        <v>40</v>
      </c>
      <c r="BF21">
        <f t="shared" si="28"/>
        <v>40</v>
      </c>
      <c r="BG21">
        <f t="shared" si="29"/>
        <v>40</v>
      </c>
      <c r="BH21">
        <f t="shared" si="30"/>
        <v>40</v>
      </c>
      <c r="BI21">
        <f t="shared" si="31"/>
        <v>40</v>
      </c>
      <c r="BJ21">
        <f t="shared" si="32"/>
        <v>40</v>
      </c>
      <c r="BK21">
        <f t="shared" si="33"/>
        <v>40</v>
      </c>
      <c r="BL21">
        <f t="shared" si="34"/>
        <v>40</v>
      </c>
      <c r="BM21">
        <f t="shared" si="35"/>
        <v>40</v>
      </c>
      <c r="BN21">
        <f t="shared" si="36"/>
        <v>40</v>
      </c>
      <c r="BO21">
        <f t="shared" si="37"/>
        <v>40</v>
      </c>
      <c r="BP21">
        <f t="shared" si="38"/>
        <v>40</v>
      </c>
      <c r="BQ21">
        <f t="shared" si="39"/>
        <v>40</v>
      </c>
      <c r="BR21">
        <f t="shared" si="40"/>
        <v>40</v>
      </c>
      <c r="BS21">
        <f t="shared" si="41"/>
        <v>40</v>
      </c>
      <c r="BT21">
        <f t="shared" si="42"/>
        <v>40</v>
      </c>
      <c r="BU21">
        <f t="shared" si="43"/>
        <v>40</v>
      </c>
      <c r="BV21">
        <f t="shared" si="44"/>
        <v>40</v>
      </c>
      <c r="BW21">
        <f t="shared" si="45"/>
        <v>40</v>
      </c>
      <c r="BX21">
        <f t="shared" si="46"/>
        <v>40</v>
      </c>
      <c r="BY21">
        <f t="shared" si="47"/>
        <v>40</v>
      </c>
      <c r="BZ21">
        <f t="shared" si="48"/>
        <v>40</v>
      </c>
      <c r="CA21">
        <f t="shared" si="49"/>
        <v>40</v>
      </c>
      <c r="CB21">
        <f t="shared" si="50"/>
        <v>40</v>
      </c>
      <c r="CC21">
        <f t="shared" si="51"/>
        <v>40</v>
      </c>
      <c r="CD21">
        <f t="shared" si="52"/>
        <v>40</v>
      </c>
      <c r="CE21">
        <f t="shared" si="53"/>
        <v>40</v>
      </c>
      <c r="CF21">
        <f t="shared" si="54"/>
        <v>40</v>
      </c>
      <c r="CG21">
        <f t="shared" si="55"/>
        <v>40</v>
      </c>
      <c r="CH21">
        <f t="shared" si="56"/>
        <v>40</v>
      </c>
      <c r="CI21">
        <f t="shared" si="57"/>
        <v>40</v>
      </c>
      <c r="CJ21">
        <f t="shared" si="58"/>
        <v>40</v>
      </c>
      <c r="CK21">
        <f t="shared" si="59"/>
        <v>40</v>
      </c>
      <c r="CL21">
        <f t="shared" si="60"/>
        <v>40</v>
      </c>
      <c r="CM21">
        <f t="shared" si="61"/>
        <v>40</v>
      </c>
      <c r="CN21">
        <f t="shared" si="62"/>
        <v>40</v>
      </c>
      <c r="CO21">
        <f t="shared" si="63"/>
        <v>40</v>
      </c>
      <c r="CP21">
        <f t="shared" si="64"/>
        <v>40</v>
      </c>
      <c r="CQ21">
        <f t="shared" si="65"/>
        <v>40</v>
      </c>
      <c r="CR21">
        <f t="shared" si="66"/>
        <v>40</v>
      </c>
      <c r="CS21">
        <f t="shared" si="67"/>
        <v>40</v>
      </c>
      <c r="CT21">
        <f t="shared" si="68"/>
        <v>40</v>
      </c>
      <c r="CU21">
        <f t="shared" si="69"/>
        <v>40</v>
      </c>
      <c r="CV21">
        <f t="shared" si="70"/>
        <v>40</v>
      </c>
      <c r="CW21">
        <f t="shared" si="71"/>
        <v>40</v>
      </c>
      <c r="CX21">
        <f t="shared" si="72"/>
        <v>40</v>
      </c>
      <c r="CY21">
        <f t="shared" si="73"/>
        <v>40</v>
      </c>
      <c r="CZ21">
        <f t="shared" si="74"/>
        <v>40</v>
      </c>
      <c r="DA21">
        <f t="shared" si="75"/>
        <v>40</v>
      </c>
      <c r="DB21">
        <f t="shared" si="76"/>
        <v>40</v>
      </c>
      <c r="DC21">
        <f t="shared" si="77"/>
        <v>40</v>
      </c>
      <c r="DD21">
        <f t="shared" si="78"/>
        <v>40</v>
      </c>
      <c r="DE21">
        <f t="shared" si="79"/>
        <v>40</v>
      </c>
      <c r="DF21">
        <f t="shared" si="80"/>
        <v>40</v>
      </c>
      <c r="DG21">
        <f t="shared" si="81"/>
        <v>40</v>
      </c>
      <c r="DH21">
        <f t="shared" si="82"/>
        <v>40</v>
      </c>
      <c r="DI21">
        <f t="shared" si="83"/>
        <v>40</v>
      </c>
      <c r="DJ21">
        <f t="shared" si="84"/>
        <v>40</v>
      </c>
      <c r="DK21">
        <f t="shared" si="85"/>
        <v>40</v>
      </c>
      <c r="DL21">
        <f t="shared" si="86"/>
        <v>40</v>
      </c>
      <c r="DM21">
        <f t="shared" si="87"/>
        <v>40</v>
      </c>
      <c r="DN21">
        <f t="shared" si="88"/>
        <v>40</v>
      </c>
      <c r="DO21">
        <f t="shared" si="89"/>
        <v>40</v>
      </c>
      <c r="DP21">
        <f t="shared" si="90"/>
        <v>40</v>
      </c>
      <c r="DQ21">
        <f t="shared" si="91"/>
        <v>40</v>
      </c>
      <c r="DR21">
        <f t="shared" si="92"/>
        <v>40</v>
      </c>
      <c r="DS21">
        <f t="shared" si="93"/>
        <v>40</v>
      </c>
      <c r="DT21">
        <f t="shared" si="94"/>
        <v>40</v>
      </c>
      <c r="DU21">
        <f t="shared" si="95"/>
        <v>40</v>
      </c>
      <c r="DV21">
        <f t="shared" si="96"/>
        <v>40</v>
      </c>
      <c r="DW21">
        <f t="shared" si="97"/>
        <v>40</v>
      </c>
      <c r="DX21">
        <f t="shared" si="98"/>
        <v>40</v>
      </c>
      <c r="DY21">
        <f t="shared" si="99"/>
        <v>40</v>
      </c>
      <c r="DZ21">
        <f t="shared" si="100"/>
        <v>40</v>
      </c>
      <c r="EA21">
        <f t="shared" si="101"/>
        <v>40</v>
      </c>
      <c r="EB21">
        <f t="shared" si="102"/>
        <v>40</v>
      </c>
      <c r="EC21">
        <f t="shared" si="103"/>
        <v>40</v>
      </c>
      <c r="ED21">
        <f t="shared" si="104"/>
        <v>40</v>
      </c>
      <c r="EE21">
        <f t="shared" si="105"/>
        <v>40</v>
      </c>
      <c r="EF21">
        <f t="shared" si="106"/>
        <v>40</v>
      </c>
      <c r="EG21">
        <f t="shared" si="107"/>
        <v>40</v>
      </c>
    </row>
    <row r="22" spans="1:139" x14ac:dyDescent="0.25">
      <c r="B22" s="29" t="s">
        <v>119</v>
      </c>
      <c r="C22" s="7">
        <v>140</v>
      </c>
      <c r="D22">
        <v>330</v>
      </c>
      <c r="F22">
        <f t="shared" ref="F22" si="126">$C22</f>
        <v>140</v>
      </c>
      <c r="G22">
        <f t="shared" si="0"/>
        <v>140</v>
      </c>
      <c r="H22">
        <f t="shared" ref="H22" si="127">G22</f>
        <v>140</v>
      </c>
      <c r="I22">
        <f t="shared" si="1"/>
        <v>140</v>
      </c>
      <c r="J22">
        <f t="shared" si="1"/>
        <v>140</v>
      </c>
      <c r="K22">
        <f t="shared" si="1"/>
        <v>140</v>
      </c>
      <c r="L22">
        <f t="shared" si="1"/>
        <v>140</v>
      </c>
      <c r="M22">
        <f t="shared" si="1"/>
        <v>140</v>
      </c>
      <c r="N22">
        <f t="shared" si="1"/>
        <v>140</v>
      </c>
      <c r="O22">
        <f t="shared" si="2"/>
        <v>140</v>
      </c>
      <c r="P22">
        <f t="shared" si="3"/>
        <v>140</v>
      </c>
      <c r="Q22">
        <v>144</v>
      </c>
      <c r="R22">
        <v>140</v>
      </c>
      <c r="S22">
        <v>144</v>
      </c>
      <c r="T22">
        <v>144</v>
      </c>
      <c r="U22">
        <v>126</v>
      </c>
      <c r="V22">
        <v>132</v>
      </c>
      <c r="W22">
        <v>144</v>
      </c>
      <c r="X22">
        <v>138</v>
      </c>
      <c r="Y22">
        <v>144</v>
      </c>
      <c r="Z22">
        <v>136</v>
      </c>
      <c r="AA22">
        <v>144</v>
      </c>
      <c r="AB22">
        <v>138</v>
      </c>
      <c r="AC22">
        <v>144</v>
      </c>
      <c r="AD22">
        <v>144</v>
      </c>
      <c r="AE22">
        <v>144</v>
      </c>
      <c r="AF22">
        <v>144</v>
      </c>
      <c r="AG22">
        <v>144</v>
      </c>
      <c r="AH22">
        <f t="shared" si="4"/>
        <v>144</v>
      </c>
      <c r="AI22">
        <f t="shared" si="5"/>
        <v>144</v>
      </c>
      <c r="AJ22">
        <f t="shared" si="6"/>
        <v>144</v>
      </c>
      <c r="AK22">
        <f t="shared" si="7"/>
        <v>144</v>
      </c>
      <c r="AL22">
        <f t="shared" si="8"/>
        <v>144</v>
      </c>
      <c r="AM22">
        <f t="shared" si="9"/>
        <v>144</v>
      </c>
      <c r="AN22">
        <f t="shared" si="10"/>
        <v>144</v>
      </c>
      <c r="AO22">
        <f t="shared" si="11"/>
        <v>144</v>
      </c>
      <c r="AP22">
        <f t="shared" si="12"/>
        <v>144</v>
      </c>
      <c r="AQ22">
        <f t="shared" si="13"/>
        <v>144</v>
      </c>
      <c r="AR22">
        <f t="shared" si="14"/>
        <v>144</v>
      </c>
      <c r="AS22">
        <f t="shared" si="15"/>
        <v>144</v>
      </c>
      <c r="AT22">
        <f t="shared" si="16"/>
        <v>144</v>
      </c>
      <c r="AU22">
        <f t="shared" si="17"/>
        <v>144</v>
      </c>
      <c r="AV22">
        <f t="shared" si="18"/>
        <v>144</v>
      </c>
      <c r="AW22">
        <f t="shared" si="19"/>
        <v>144</v>
      </c>
      <c r="AX22">
        <f t="shared" si="20"/>
        <v>144</v>
      </c>
      <c r="AY22">
        <f t="shared" si="21"/>
        <v>144</v>
      </c>
      <c r="AZ22">
        <f t="shared" si="22"/>
        <v>144</v>
      </c>
      <c r="BA22">
        <f t="shared" si="23"/>
        <v>144</v>
      </c>
      <c r="BB22">
        <f t="shared" si="24"/>
        <v>144</v>
      </c>
      <c r="BC22">
        <f t="shared" si="25"/>
        <v>144</v>
      </c>
      <c r="BD22">
        <f t="shared" si="26"/>
        <v>144</v>
      </c>
      <c r="BE22">
        <f t="shared" si="27"/>
        <v>144</v>
      </c>
      <c r="BF22">
        <f t="shared" si="28"/>
        <v>144</v>
      </c>
      <c r="BG22">
        <f t="shared" si="29"/>
        <v>144</v>
      </c>
      <c r="BH22">
        <f t="shared" si="30"/>
        <v>144</v>
      </c>
      <c r="BI22">
        <f t="shared" si="31"/>
        <v>144</v>
      </c>
      <c r="BJ22">
        <f t="shared" si="32"/>
        <v>144</v>
      </c>
      <c r="BK22">
        <f t="shared" si="33"/>
        <v>144</v>
      </c>
      <c r="BL22">
        <f t="shared" si="34"/>
        <v>144</v>
      </c>
      <c r="BM22">
        <f t="shared" si="35"/>
        <v>144</v>
      </c>
      <c r="BN22">
        <f t="shared" si="36"/>
        <v>144</v>
      </c>
      <c r="BO22">
        <f t="shared" si="37"/>
        <v>144</v>
      </c>
      <c r="BP22">
        <f t="shared" si="38"/>
        <v>144</v>
      </c>
      <c r="BQ22">
        <f t="shared" si="39"/>
        <v>144</v>
      </c>
      <c r="BR22">
        <f t="shared" si="40"/>
        <v>144</v>
      </c>
      <c r="BS22">
        <f t="shared" si="41"/>
        <v>144</v>
      </c>
      <c r="BT22">
        <f t="shared" si="42"/>
        <v>144</v>
      </c>
      <c r="BU22">
        <f t="shared" si="43"/>
        <v>144</v>
      </c>
      <c r="BV22">
        <f t="shared" si="44"/>
        <v>144</v>
      </c>
      <c r="BW22">
        <f t="shared" si="45"/>
        <v>144</v>
      </c>
      <c r="BX22">
        <f t="shared" si="46"/>
        <v>144</v>
      </c>
      <c r="BY22">
        <f t="shared" si="47"/>
        <v>144</v>
      </c>
      <c r="BZ22">
        <f t="shared" si="48"/>
        <v>144</v>
      </c>
      <c r="CA22">
        <f t="shared" si="49"/>
        <v>144</v>
      </c>
      <c r="CB22">
        <f t="shared" si="50"/>
        <v>144</v>
      </c>
      <c r="CC22">
        <f t="shared" si="51"/>
        <v>144</v>
      </c>
      <c r="CD22">
        <f t="shared" si="52"/>
        <v>144</v>
      </c>
      <c r="CE22">
        <f t="shared" si="53"/>
        <v>144</v>
      </c>
      <c r="CF22">
        <f t="shared" si="54"/>
        <v>144</v>
      </c>
      <c r="CG22">
        <f t="shared" si="55"/>
        <v>144</v>
      </c>
      <c r="CH22">
        <f t="shared" si="56"/>
        <v>144</v>
      </c>
      <c r="CI22">
        <f t="shared" si="57"/>
        <v>144</v>
      </c>
      <c r="CJ22">
        <f t="shared" si="58"/>
        <v>144</v>
      </c>
      <c r="CK22">
        <f t="shared" si="59"/>
        <v>144</v>
      </c>
      <c r="CL22">
        <f t="shared" si="60"/>
        <v>144</v>
      </c>
      <c r="CM22">
        <f t="shared" si="61"/>
        <v>144</v>
      </c>
      <c r="CN22">
        <f t="shared" si="62"/>
        <v>144</v>
      </c>
      <c r="CO22">
        <f t="shared" si="63"/>
        <v>144</v>
      </c>
      <c r="CP22">
        <f t="shared" si="64"/>
        <v>144</v>
      </c>
      <c r="CQ22">
        <f t="shared" si="65"/>
        <v>144</v>
      </c>
      <c r="CR22">
        <f t="shared" si="66"/>
        <v>144</v>
      </c>
      <c r="CS22">
        <f t="shared" si="67"/>
        <v>144</v>
      </c>
      <c r="CT22">
        <f t="shared" si="68"/>
        <v>144</v>
      </c>
      <c r="CU22">
        <f t="shared" si="69"/>
        <v>144</v>
      </c>
      <c r="CV22">
        <f t="shared" si="70"/>
        <v>144</v>
      </c>
      <c r="CW22">
        <f t="shared" si="71"/>
        <v>144</v>
      </c>
      <c r="CX22">
        <f t="shared" si="72"/>
        <v>144</v>
      </c>
      <c r="CY22">
        <f t="shared" si="73"/>
        <v>144</v>
      </c>
      <c r="CZ22">
        <f t="shared" si="74"/>
        <v>144</v>
      </c>
      <c r="DA22">
        <f t="shared" si="75"/>
        <v>144</v>
      </c>
      <c r="DB22">
        <f t="shared" si="76"/>
        <v>144</v>
      </c>
      <c r="DC22">
        <f t="shared" si="77"/>
        <v>144</v>
      </c>
      <c r="DD22">
        <f t="shared" si="78"/>
        <v>144</v>
      </c>
      <c r="DE22">
        <f t="shared" si="79"/>
        <v>144</v>
      </c>
      <c r="DF22">
        <f t="shared" si="80"/>
        <v>144</v>
      </c>
      <c r="DG22">
        <f t="shared" si="81"/>
        <v>144</v>
      </c>
      <c r="DH22">
        <f t="shared" si="82"/>
        <v>144</v>
      </c>
      <c r="DI22">
        <f t="shared" si="83"/>
        <v>144</v>
      </c>
      <c r="DJ22">
        <f t="shared" si="84"/>
        <v>144</v>
      </c>
      <c r="DK22">
        <f t="shared" si="85"/>
        <v>144</v>
      </c>
      <c r="DL22">
        <f t="shared" si="86"/>
        <v>144</v>
      </c>
      <c r="DM22">
        <f t="shared" si="87"/>
        <v>144</v>
      </c>
      <c r="DN22">
        <f t="shared" si="88"/>
        <v>144</v>
      </c>
      <c r="DO22">
        <f t="shared" si="89"/>
        <v>144</v>
      </c>
      <c r="DP22">
        <f t="shared" si="90"/>
        <v>144</v>
      </c>
      <c r="DQ22">
        <f t="shared" si="91"/>
        <v>144</v>
      </c>
      <c r="DR22">
        <f t="shared" si="92"/>
        <v>144</v>
      </c>
      <c r="DS22">
        <f t="shared" si="93"/>
        <v>144</v>
      </c>
      <c r="DT22">
        <f t="shared" si="94"/>
        <v>144</v>
      </c>
      <c r="DU22">
        <f t="shared" si="95"/>
        <v>144</v>
      </c>
      <c r="DV22">
        <f t="shared" si="96"/>
        <v>144</v>
      </c>
      <c r="DW22">
        <f t="shared" si="97"/>
        <v>144</v>
      </c>
      <c r="DX22">
        <f t="shared" si="98"/>
        <v>144</v>
      </c>
      <c r="DY22">
        <f t="shared" si="99"/>
        <v>144</v>
      </c>
      <c r="DZ22">
        <f t="shared" si="100"/>
        <v>144</v>
      </c>
      <c r="EA22">
        <f t="shared" si="101"/>
        <v>144</v>
      </c>
      <c r="EB22">
        <f t="shared" si="102"/>
        <v>144</v>
      </c>
      <c r="EC22">
        <f t="shared" si="103"/>
        <v>144</v>
      </c>
      <c r="ED22">
        <f t="shared" si="104"/>
        <v>144</v>
      </c>
      <c r="EE22">
        <f t="shared" si="105"/>
        <v>144</v>
      </c>
      <c r="EF22">
        <f t="shared" si="106"/>
        <v>144</v>
      </c>
      <c r="EG22">
        <f t="shared" si="107"/>
        <v>144</v>
      </c>
    </row>
    <row r="23" spans="1:139" x14ac:dyDescent="0.25">
      <c r="B23" s="8" t="s">
        <v>120</v>
      </c>
      <c r="C23" s="7">
        <v>70</v>
      </c>
      <c r="D23">
        <v>290</v>
      </c>
      <c r="F23">
        <f>$C23</f>
        <v>70</v>
      </c>
      <c r="G23">
        <f t="shared" si="0"/>
        <v>70</v>
      </c>
      <c r="H23">
        <f t="shared" ref="H23" si="128">G23</f>
        <v>70</v>
      </c>
      <c r="I23">
        <f t="shared" si="1"/>
        <v>70</v>
      </c>
      <c r="J23">
        <f t="shared" si="1"/>
        <v>70</v>
      </c>
      <c r="K23">
        <f t="shared" si="1"/>
        <v>70</v>
      </c>
      <c r="L23">
        <f t="shared" si="1"/>
        <v>70</v>
      </c>
      <c r="M23">
        <f t="shared" si="1"/>
        <v>70</v>
      </c>
      <c r="N23">
        <f t="shared" si="1"/>
        <v>70</v>
      </c>
      <c r="O23">
        <f t="shared" si="2"/>
        <v>70</v>
      </c>
      <c r="P23">
        <f t="shared" si="3"/>
        <v>70</v>
      </c>
      <c r="Q23">
        <v>78</v>
      </c>
      <c r="R23">
        <v>74</v>
      </c>
      <c r="S23">
        <v>78</v>
      </c>
      <c r="T23">
        <v>78</v>
      </c>
      <c r="U23">
        <v>53</v>
      </c>
      <c r="V23">
        <v>73</v>
      </c>
      <c r="W23">
        <v>78</v>
      </c>
      <c r="X23">
        <v>72</v>
      </c>
      <c r="Y23">
        <v>78</v>
      </c>
      <c r="Z23">
        <v>78</v>
      </c>
      <c r="AA23">
        <v>78</v>
      </c>
      <c r="AB23">
        <v>72</v>
      </c>
      <c r="AC23">
        <v>78</v>
      </c>
      <c r="AD23">
        <v>78</v>
      </c>
      <c r="AE23">
        <v>78</v>
      </c>
      <c r="AF23">
        <v>78</v>
      </c>
      <c r="AG23">
        <v>78</v>
      </c>
      <c r="AH23">
        <f t="shared" si="4"/>
        <v>78</v>
      </c>
      <c r="AI23">
        <f t="shared" si="5"/>
        <v>78</v>
      </c>
      <c r="AJ23">
        <f t="shared" si="6"/>
        <v>78</v>
      </c>
      <c r="AK23">
        <f t="shared" si="7"/>
        <v>78</v>
      </c>
      <c r="AL23">
        <f t="shared" si="8"/>
        <v>78</v>
      </c>
      <c r="AM23">
        <f t="shared" si="9"/>
        <v>78</v>
      </c>
      <c r="AN23">
        <f t="shared" si="10"/>
        <v>78</v>
      </c>
      <c r="AO23">
        <f t="shared" si="11"/>
        <v>78</v>
      </c>
      <c r="AP23">
        <f t="shared" si="12"/>
        <v>78</v>
      </c>
      <c r="AQ23">
        <f t="shared" si="13"/>
        <v>78</v>
      </c>
      <c r="AR23">
        <f t="shared" si="14"/>
        <v>78</v>
      </c>
      <c r="AS23">
        <f t="shared" si="15"/>
        <v>78</v>
      </c>
      <c r="AT23">
        <f t="shared" si="16"/>
        <v>78</v>
      </c>
      <c r="AU23">
        <f t="shared" si="17"/>
        <v>78</v>
      </c>
      <c r="AV23">
        <f t="shared" si="18"/>
        <v>78</v>
      </c>
      <c r="AW23">
        <f t="shared" si="19"/>
        <v>78</v>
      </c>
      <c r="AX23">
        <f t="shared" si="20"/>
        <v>78</v>
      </c>
      <c r="AY23">
        <f t="shared" si="21"/>
        <v>78</v>
      </c>
      <c r="AZ23">
        <f t="shared" si="22"/>
        <v>78</v>
      </c>
      <c r="BA23">
        <f t="shared" si="23"/>
        <v>78</v>
      </c>
      <c r="BB23">
        <f t="shared" si="24"/>
        <v>78</v>
      </c>
      <c r="BC23">
        <f t="shared" si="25"/>
        <v>78</v>
      </c>
      <c r="BD23">
        <f t="shared" si="26"/>
        <v>78</v>
      </c>
      <c r="BE23">
        <f t="shared" si="27"/>
        <v>78</v>
      </c>
      <c r="BF23">
        <f t="shared" si="28"/>
        <v>78</v>
      </c>
      <c r="BG23">
        <f t="shared" si="29"/>
        <v>78</v>
      </c>
      <c r="BH23">
        <f t="shared" si="30"/>
        <v>78</v>
      </c>
      <c r="BI23">
        <f t="shared" si="31"/>
        <v>78</v>
      </c>
      <c r="BJ23">
        <f t="shared" si="32"/>
        <v>78</v>
      </c>
      <c r="BK23">
        <f t="shared" si="33"/>
        <v>78</v>
      </c>
      <c r="BL23">
        <f t="shared" si="34"/>
        <v>78</v>
      </c>
      <c r="BM23">
        <f t="shared" si="35"/>
        <v>78</v>
      </c>
      <c r="BN23">
        <f t="shared" si="36"/>
        <v>78</v>
      </c>
      <c r="BO23">
        <f t="shared" si="37"/>
        <v>78</v>
      </c>
      <c r="BP23">
        <f t="shared" si="38"/>
        <v>78</v>
      </c>
      <c r="BQ23">
        <f t="shared" si="39"/>
        <v>78</v>
      </c>
      <c r="BR23">
        <f t="shared" si="40"/>
        <v>78</v>
      </c>
      <c r="BS23">
        <f t="shared" si="41"/>
        <v>78</v>
      </c>
      <c r="BT23">
        <f t="shared" si="42"/>
        <v>78</v>
      </c>
      <c r="BU23">
        <f t="shared" si="43"/>
        <v>78</v>
      </c>
      <c r="BV23">
        <f t="shared" si="44"/>
        <v>78</v>
      </c>
      <c r="BW23">
        <f t="shared" si="45"/>
        <v>78</v>
      </c>
      <c r="BX23">
        <f t="shared" si="46"/>
        <v>78</v>
      </c>
      <c r="BY23">
        <f t="shared" si="47"/>
        <v>78</v>
      </c>
      <c r="BZ23">
        <f t="shared" si="48"/>
        <v>78</v>
      </c>
      <c r="CA23">
        <f t="shared" si="49"/>
        <v>78</v>
      </c>
      <c r="CB23">
        <f t="shared" si="50"/>
        <v>78</v>
      </c>
      <c r="CC23">
        <f t="shared" si="51"/>
        <v>78</v>
      </c>
      <c r="CD23">
        <f t="shared" si="52"/>
        <v>78</v>
      </c>
      <c r="CE23">
        <f t="shared" si="53"/>
        <v>78</v>
      </c>
      <c r="CF23">
        <f t="shared" si="54"/>
        <v>78</v>
      </c>
      <c r="CG23">
        <f t="shared" si="55"/>
        <v>78</v>
      </c>
      <c r="CH23">
        <f t="shared" si="56"/>
        <v>78</v>
      </c>
      <c r="CI23">
        <f t="shared" si="57"/>
        <v>78</v>
      </c>
      <c r="CJ23">
        <f t="shared" si="58"/>
        <v>78</v>
      </c>
      <c r="CK23">
        <f t="shared" si="59"/>
        <v>78</v>
      </c>
      <c r="CL23">
        <f t="shared" si="60"/>
        <v>78</v>
      </c>
      <c r="CM23">
        <f t="shared" si="61"/>
        <v>78</v>
      </c>
      <c r="CN23">
        <f t="shared" si="62"/>
        <v>78</v>
      </c>
      <c r="CO23">
        <f t="shared" si="63"/>
        <v>78</v>
      </c>
      <c r="CP23">
        <f t="shared" si="64"/>
        <v>78</v>
      </c>
      <c r="CQ23">
        <f t="shared" si="65"/>
        <v>78</v>
      </c>
      <c r="CR23">
        <f t="shared" si="66"/>
        <v>78</v>
      </c>
      <c r="CS23">
        <f t="shared" si="67"/>
        <v>78</v>
      </c>
      <c r="CT23">
        <f t="shared" si="68"/>
        <v>78</v>
      </c>
      <c r="CU23">
        <f t="shared" si="69"/>
        <v>78</v>
      </c>
      <c r="CV23">
        <f t="shared" si="70"/>
        <v>78</v>
      </c>
      <c r="CW23">
        <f t="shared" si="71"/>
        <v>78</v>
      </c>
      <c r="CX23">
        <f t="shared" si="72"/>
        <v>78</v>
      </c>
      <c r="CY23">
        <f t="shared" si="73"/>
        <v>78</v>
      </c>
      <c r="CZ23">
        <f t="shared" si="74"/>
        <v>78</v>
      </c>
      <c r="DA23">
        <f t="shared" si="75"/>
        <v>78</v>
      </c>
      <c r="DB23">
        <f t="shared" si="76"/>
        <v>78</v>
      </c>
      <c r="DC23">
        <f t="shared" si="77"/>
        <v>78</v>
      </c>
      <c r="DD23">
        <f t="shared" si="78"/>
        <v>78</v>
      </c>
      <c r="DE23">
        <f t="shared" si="79"/>
        <v>78</v>
      </c>
      <c r="DF23">
        <f t="shared" si="80"/>
        <v>78</v>
      </c>
      <c r="DG23">
        <f t="shared" si="81"/>
        <v>78</v>
      </c>
      <c r="DH23">
        <f t="shared" si="82"/>
        <v>78</v>
      </c>
      <c r="DI23">
        <f t="shared" si="83"/>
        <v>78</v>
      </c>
      <c r="DJ23">
        <f t="shared" si="84"/>
        <v>78</v>
      </c>
      <c r="DK23">
        <f t="shared" si="85"/>
        <v>78</v>
      </c>
      <c r="DL23">
        <f t="shared" si="86"/>
        <v>78</v>
      </c>
      <c r="DM23">
        <f t="shared" si="87"/>
        <v>78</v>
      </c>
      <c r="DN23">
        <f t="shared" si="88"/>
        <v>78</v>
      </c>
      <c r="DO23">
        <f t="shared" si="89"/>
        <v>78</v>
      </c>
      <c r="DP23">
        <f t="shared" si="90"/>
        <v>78</v>
      </c>
      <c r="DQ23">
        <f t="shared" si="91"/>
        <v>78</v>
      </c>
      <c r="DR23">
        <f t="shared" si="92"/>
        <v>78</v>
      </c>
      <c r="DS23">
        <f t="shared" si="93"/>
        <v>78</v>
      </c>
      <c r="DT23">
        <f t="shared" si="94"/>
        <v>78</v>
      </c>
      <c r="DU23">
        <f t="shared" si="95"/>
        <v>78</v>
      </c>
      <c r="DV23">
        <f t="shared" si="96"/>
        <v>78</v>
      </c>
      <c r="DW23">
        <f t="shared" si="97"/>
        <v>78</v>
      </c>
      <c r="DX23">
        <f t="shared" si="98"/>
        <v>78</v>
      </c>
      <c r="DY23">
        <f t="shared" si="99"/>
        <v>78</v>
      </c>
      <c r="DZ23">
        <f t="shared" si="100"/>
        <v>78</v>
      </c>
      <c r="EA23">
        <f t="shared" si="101"/>
        <v>78</v>
      </c>
      <c r="EB23">
        <f t="shared" si="102"/>
        <v>78</v>
      </c>
      <c r="EC23">
        <f t="shared" si="103"/>
        <v>78</v>
      </c>
      <c r="ED23">
        <f t="shared" si="104"/>
        <v>78</v>
      </c>
      <c r="EE23">
        <f t="shared" si="105"/>
        <v>78</v>
      </c>
      <c r="EF23">
        <f t="shared" si="106"/>
        <v>78</v>
      </c>
      <c r="EG23">
        <f t="shared" si="107"/>
        <v>78</v>
      </c>
    </row>
    <row r="24" spans="1:139" x14ac:dyDescent="0.25">
      <c r="A24" s="4" t="s">
        <v>88</v>
      </c>
    </row>
    <row r="25" spans="1:139" x14ac:dyDescent="0.25">
      <c r="A25" s="4"/>
    </row>
    <row r="26" spans="1:139" x14ac:dyDescent="0.25">
      <c r="A26" t="s">
        <v>17</v>
      </c>
    </row>
    <row r="27" spans="1:139" x14ac:dyDescent="0.25">
      <c r="B27" s="7" t="s">
        <v>18</v>
      </c>
    </row>
    <row r="28" spans="1:139" x14ac:dyDescent="0.25">
      <c r="B28" s="8" t="s">
        <v>20</v>
      </c>
    </row>
    <row r="29" spans="1:139" x14ac:dyDescent="0.25">
      <c r="B29" s="42" t="s">
        <v>128</v>
      </c>
    </row>
    <row r="30" spans="1:139" x14ac:dyDescent="0.25">
      <c r="A30" s="4" t="s">
        <v>21</v>
      </c>
      <c r="B30" s="36"/>
    </row>
    <row r="31" spans="1:139" x14ac:dyDescent="0.25">
      <c r="A31" s="4"/>
    </row>
    <row r="32" spans="1:139" x14ac:dyDescent="0.25">
      <c r="A32" s="4"/>
    </row>
    <row r="33" spans="1:2" x14ac:dyDescent="0.25">
      <c r="A33" s="4"/>
    </row>
    <row r="34" spans="1:2" x14ac:dyDescent="0.25">
      <c r="A34" s="4"/>
    </row>
    <row r="36" spans="1:2" x14ac:dyDescent="0.25">
      <c r="A36" t="s">
        <v>22</v>
      </c>
      <c r="B36">
        <v>60</v>
      </c>
    </row>
    <row r="37" spans="1:2" x14ac:dyDescent="0.25">
      <c r="A37" t="s">
        <v>23</v>
      </c>
      <c r="B37">
        <v>9</v>
      </c>
    </row>
    <row r="38" spans="1:2" x14ac:dyDescent="0.25">
      <c r="A38" t="s">
        <v>24</v>
      </c>
      <c r="B38">
        <v>27</v>
      </c>
    </row>
    <row r="39" spans="1:2" x14ac:dyDescent="0.25">
      <c r="A39" t="s">
        <v>25</v>
      </c>
      <c r="B39" s="10"/>
    </row>
    <row r="40" spans="1:2" x14ac:dyDescent="0.25">
      <c r="A40" t="s">
        <v>26</v>
      </c>
      <c r="B40" s="11"/>
    </row>
    <row r="41" spans="1:2" x14ac:dyDescent="0.25">
      <c r="A41" t="s">
        <v>27</v>
      </c>
      <c r="B41">
        <v>20</v>
      </c>
    </row>
    <row r="42" spans="1:2" x14ac:dyDescent="0.25">
      <c r="A42" t="s">
        <v>28</v>
      </c>
      <c r="B42" s="21"/>
    </row>
    <row r="43" spans="1:2" x14ac:dyDescent="0.25">
      <c r="A43" t="s">
        <v>29</v>
      </c>
      <c r="B43" s="12"/>
    </row>
    <row r="44" spans="1:2" x14ac:dyDescent="0.25">
      <c r="A44" t="s">
        <v>30</v>
      </c>
      <c r="B44" s="13"/>
    </row>
    <row r="45" spans="1:2" x14ac:dyDescent="0.25">
      <c r="A45" t="s">
        <v>31</v>
      </c>
      <c r="B45" s="14"/>
    </row>
    <row r="46" spans="1:2" x14ac:dyDescent="0.25">
      <c r="A46" t="s">
        <v>78</v>
      </c>
      <c r="B46" s="10"/>
    </row>
    <row r="47" spans="1:2" x14ac:dyDescent="0.25">
      <c r="A47" t="s">
        <v>79</v>
      </c>
      <c r="B47" s="9"/>
    </row>
    <row r="48" spans="1:2" x14ac:dyDescent="0.25">
      <c r="A48" t="s">
        <v>80</v>
      </c>
      <c r="B48" s="19"/>
    </row>
    <row r="49" spans="1:12" x14ac:dyDescent="0.25">
      <c r="A49" t="s">
        <v>81</v>
      </c>
      <c r="B49" s="20"/>
    </row>
    <row r="50" spans="1:12" x14ac:dyDescent="0.25">
      <c r="A50" t="s">
        <v>82</v>
      </c>
      <c r="B50" s="5"/>
    </row>
    <row r="51" spans="1:12" x14ac:dyDescent="0.25">
      <c r="A51" t="s">
        <v>94</v>
      </c>
      <c r="B51" s="25"/>
    </row>
    <row r="52" spans="1:12" x14ac:dyDescent="0.25">
      <c r="A52" t="s">
        <v>95</v>
      </c>
      <c r="B52" s="24"/>
    </row>
    <row r="53" spans="1:12" x14ac:dyDescent="0.25">
      <c r="A53" t="s">
        <v>96</v>
      </c>
      <c r="B53" s="26"/>
    </row>
    <row r="54" spans="1:12" x14ac:dyDescent="0.25">
      <c r="A54" t="s">
        <v>100</v>
      </c>
      <c r="B54" s="34"/>
    </row>
    <row r="55" spans="1:12" x14ac:dyDescent="0.25">
      <c r="A55" t="s">
        <v>97</v>
      </c>
      <c r="B55" s="35"/>
    </row>
    <row r="56" spans="1:12" x14ac:dyDescent="0.25">
      <c r="A56" t="s">
        <v>98</v>
      </c>
      <c r="B56" s="36"/>
    </row>
    <row r="57" spans="1:12" x14ac:dyDescent="0.25">
      <c r="A57" t="s">
        <v>99</v>
      </c>
      <c r="B57" s="11"/>
    </row>
    <row r="58" spans="1:12" x14ac:dyDescent="0.25">
      <c r="A58" t="s">
        <v>101</v>
      </c>
      <c r="B58" s="36"/>
    </row>
    <row r="59" spans="1:12" x14ac:dyDescent="0.25">
      <c r="A59" t="s">
        <v>83</v>
      </c>
      <c r="B59">
        <v>0</v>
      </c>
    </row>
    <row r="60" spans="1:12" x14ac:dyDescent="0.25">
      <c r="A60" t="s">
        <v>84</v>
      </c>
      <c r="B60" s="18">
        <v>41153</v>
      </c>
    </row>
    <row r="61" spans="1:12" x14ac:dyDescent="0.25">
      <c r="A61" t="s">
        <v>85</v>
      </c>
      <c r="B61" s="22" t="s">
        <v>93</v>
      </c>
    </row>
    <row r="62" spans="1:12" x14ac:dyDescent="0.25">
      <c r="A62" t="s">
        <v>110</v>
      </c>
      <c r="B62" s="22" t="s">
        <v>111</v>
      </c>
    </row>
    <row r="63" spans="1:12" x14ac:dyDescent="0.25">
      <c r="A63" t="s">
        <v>131</v>
      </c>
      <c r="B63" s="22" t="s">
        <v>132</v>
      </c>
      <c r="D63" t="s">
        <v>133</v>
      </c>
    </row>
    <row r="64" spans="1:12" x14ac:dyDescent="0.25">
      <c r="A64" t="s">
        <v>86</v>
      </c>
      <c r="B64" s="22" t="s">
        <v>129</v>
      </c>
      <c r="D64" s="22" t="s">
        <v>87</v>
      </c>
      <c r="E64" s="22" t="s">
        <v>102</v>
      </c>
      <c r="F64" t="s">
        <v>106</v>
      </c>
      <c r="G64" t="s">
        <v>107</v>
      </c>
      <c r="H64" s="22" t="s">
        <v>108</v>
      </c>
      <c r="I64" s="22" t="s">
        <v>112</v>
      </c>
      <c r="J64" s="22" t="s">
        <v>113</v>
      </c>
      <c r="K64" s="22" t="s">
        <v>121</v>
      </c>
      <c r="L64" s="22" t="s">
        <v>129</v>
      </c>
    </row>
    <row r="65" spans="1:2" x14ac:dyDescent="0.25">
      <c r="A65" t="s">
        <v>90</v>
      </c>
      <c r="B65" s="23">
        <v>50</v>
      </c>
    </row>
    <row r="66" spans="1:2" x14ac:dyDescent="0.25">
      <c r="A66" t="s">
        <v>91</v>
      </c>
      <c r="B66" s="23">
        <v>30</v>
      </c>
    </row>
    <row r="67" spans="1:2" x14ac:dyDescent="0.25">
      <c r="A67" t="s">
        <v>92</v>
      </c>
      <c r="B67" s="23">
        <v>3.4</v>
      </c>
    </row>
    <row r="68" spans="1:2" x14ac:dyDescent="0.25">
      <c r="A68" t="s">
        <v>109</v>
      </c>
      <c r="B68" s="32">
        <v>1</v>
      </c>
    </row>
  </sheetData>
  <dataConsolidate/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BL51"/>
  <sheetViews>
    <sheetView defaultGridColor="0" colorId="22" workbookViewId="0">
      <pane ySplit="1" topLeftCell="A2" activePane="bottomLeft" state="frozenSplit"/>
      <selection pane="bottomLeft" activeCell="D25" sqref="D25"/>
    </sheetView>
  </sheetViews>
  <sheetFormatPr baseColWidth="10" defaultRowHeight="15" x14ac:dyDescent="0.25"/>
  <cols>
    <col min="1" max="2" width="20.7109375" customWidth="1"/>
    <col min="3" max="63" width="4.28515625" customWidth="1"/>
  </cols>
  <sheetData>
    <row r="1" spans="1:64" x14ac:dyDescent="0.25">
      <c r="A1" s="15" t="s">
        <v>32</v>
      </c>
      <c r="B1" s="15"/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  <c r="K1" s="15">
        <v>9</v>
      </c>
      <c r="L1" s="15">
        <v>10</v>
      </c>
      <c r="M1" s="15">
        <v>11</v>
      </c>
      <c r="N1" s="15">
        <v>12</v>
      </c>
      <c r="O1" s="15">
        <v>13</v>
      </c>
      <c r="P1" s="15">
        <v>14</v>
      </c>
      <c r="Q1" s="15">
        <v>15</v>
      </c>
      <c r="R1" s="15">
        <v>16</v>
      </c>
      <c r="S1" s="15">
        <v>17</v>
      </c>
      <c r="T1" s="15">
        <v>18</v>
      </c>
      <c r="U1" s="15">
        <v>19</v>
      </c>
      <c r="V1" s="15">
        <v>20</v>
      </c>
      <c r="W1" s="15">
        <v>21</v>
      </c>
      <c r="X1" s="15">
        <v>22</v>
      </c>
      <c r="Y1" s="15">
        <v>23</v>
      </c>
      <c r="Z1" s="15">
        <v>24</v>
      </c>
      <c r="AA1" s="15">
        <v>25</v>
      </c>
      <c r="AB1" s="15">
        <v>26</v>
      </c>
      <c r="AC1" s="15">
        <v>27</v>
      </c>
      <c r="AD1" s="15">
        <v>28</v>
      </c>
      <c r="AE1" s="15">
        <v>29</v>
      </c>
      <c r="AF1" s="15">
        <v>30</v>
      </c>
      <c r="AG1" s="15">
        <v>31</v>
      </c>
      <c r="AH1" s="15">
        <v>32</v>
      </c>
      <c r="AI1" s="15">
        <v>33</v>
      </c>
      <c r="AJ1" s="15">
        <v>34</v>
      </c>
      <c r="AK1" s="15">
        <v>35</v>
      </c>
      <c r="AL1" s="15">
        <v>36</v>
      </c>
      <c r="AM1" s="15">
        <v>37</v>
      </c>
      <c r="AN1" s="15">
        <v>38</v>
      </c>
      <c r="AO1" s="15">
        <v>39</v>
      </c>
      <c r="AP1" s="15">
        <v>40</v>
      </c>
      <c r="AQ1" s="15">
        <v>41</v>
      </c>
      <c r="AR1" s="15">
        <v>42</v>
      </c>
      <c r="AS1" s="15">
        <v>43</v>
      </c>
      <c r="AT1" s="15">
        <v>44</v>
      </c>
      <c r="AU1" s="15">
        <v>45</v>
      </c>
      <c r="AV1" s="15">
        <v>46</v>
      </c>
      <c r="AW1" s="15">
        <v>47</v>
      </c>
      <c r="AX1" s="15">
        <v>48</v>
      </c>
      <c r="AY1" s="15">
        <v>49</v>
      </c>
      <c r="AZ1" s="15">
        <v>50</v>
      </c>
      <c r="BA1" s="15">
        <v>51</v>
      </c>
      <c r="BB1" s="15">
        <v>52</v>
      </c>
      <c r="BC1" s="15">
        <v>53</v>
      </c>
      <c r="BD1" s="15">
        <v>54</v>
      </c>
      <c r="BE1" s="15">
        <v>55</v>
      </c>
      <c r="BF1" s="15">
        <v>56</v>
      </c>
      <c r="BG1" s="15">
        <v>57</v>
      </c>
      <c r="BH1" s="15">
        <v>58</v>
      </c>
      <c r="BI1" s="15">
        <v>59</v>
      </c>
      <c r="BJ1" s="15">
        <v>60</v>
      </c>
      <c r="BK1" s="15"/>
      <c r="BL1" s="15"/>
    </row>
    <row r="2" spans="1:64" x14ac:dyDescent="0.25">
      <c r="A2" s="1" t="s">
        <v>2</v>
      </c>
      <c r="C2" s="1" t="s">
        <v>1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64" x14ac:dyDescent="0.25">
      <c r="B3" s="16" t="s">
        <v>12</v>
      </c>
      <c r="C3" s="16">
        <v>1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1</v>
      </c>
      <c r="S3" s="16">
        <v>1</v>
      </c>
    </row>
    <row r="4" spans="1:64" x14ac:dyDescent="0.25">
      <c r="B4" s="16" t="s">
        <v>13</v>
      </c>
      <c r="C4" s="16">
        <v>1</v>
      </c>
      <c r="D4" s="16">
        <v>1</v>
      </c>
      <c r="E4" s="16">
        <v>1</v>
      </c>
      <c r="F4" s="16">
        <v>2</v>
      </c>
      <c r="G4" s="16">
        <v>2</v>
      </c>
      <c r="H4" s="16">
        <v>2</v>
      </c>
      <c r="I4" s="16">
        <v>2</v>
      </c>
      <c r="J4" s="16">
        <v>2</v>
      </c>
      <c r="K4" s="16">
        <v>2</v>
      </c>
      <c r="L4" s="16">
        <v>2</v>
      </c>
      <c r="M4" s="16">
        <v>2</v>
      </c>
      <c r="N4" s="16">
        <v>2</v>
      </c>
      <c r="O4" s="16">
        <v>2</v>
      </c>
      <c r="P4" s="16">
        <v>2</v>
      </c>
      <c r="Q4" s="16">
        <v>2</v>
      </c>
      <c r="R4" s="16">
        <v>2</v>
      </c>
      <c r="S4" s="16">
        <v>2</v>
      </c>
    </row>
    <row r="5" spans="1:64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64" ht="15.75" x14ac:dyDescent="0.25">
      <c r="A6" s="17" t="s">
        <v>5</v>
      </c>
      <c r="B6" s="16"/>
      <c r="C6" s="1"/>
      <c r="D6" s="1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64" x14ac:dyDescent="0.25">
      <c r="B7" s="16" t="s">
        <v>14</v>
      </c>
      <c r="C7" s="16">
        <v>3</v>
      </c>
      <c r="D7" s="16">
        <v>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64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64" ht="15.75" x14ac:dyDescent="0.25">
      <c r="A9" s="17" t="s">
        <v>6</v>
      </c>
      <c r="B9" s="16"/>
      <c r="C9" s="16"/>
      <c r="D9" s="16"/>
      <c r="E9" s="1"/>
      <c r="F9" s="1"/>
      <c r="G9" s="1"/>
      <c r="H9" s="1"/>
      <c r="I9" s="1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64" x14ac:dyDescent="0.25">
      <c r="A10" s="16"/>
      <c r="B10" s="16" t="s">
        <v>14</v>
      </c>
      <c r="C10" s="16"/>
      <c r="D10" s="16"/>
      <c r="E10" s="16">
        <v>1.5</v>
      </c>
      <c r="F10" s="16">
        <v>1.5</v>
      </c>
      <c r="G10" s="16">
        <v>1.5</v>
      </c>
      <c r="H10" s="16">
        <v>1.5</v>
      </c>
      <c r="I10" s="16">
        <v>1.5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64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64" ht="15.75" x14ac:dyDescent="0.25">
      <c r="A12" s="17" t="s">
        <v>7</v>
      </c>
      <c r="B12" s="16"/>
      <c r="C12" s="16"/>
      <c r="D12" s="16"/>
      <c r="E12" s="16"/>
      <c r="F12" s="16"/>
      <c r="G12" s="16"/>
      <c r="H12" s="16"/>
      <c r="I12" s="16"/>
      <c r="J12" s="1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64" x14ac:dyDescent="0.25">
      <c r="A13" s="16"/>
      <c r="B13" s="16" t="s">
        <v>14</v>
      </c>
      <c r="C13" s="16"/>
      <c r="D13" s="16"/>
      <c r="E13" s="16"/>
      <c r="F13" s="16"/>
      <c r="G13" s="16"/>
      <c r="H13" s="16"/>
      <c r="I13" s="16"/>
      <c r="J13" s="16">
        <v>3</v>
      </c>
      <c r="K13" s="16">
        <v>3</v>
      </c>
      <c r="L13" s="16">
        <v>3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64" x14ac:dyDescent="0.25">
      <c r="A14" s="16"/>
      <c r="B14" s="16" t="s">
        <v>15</v>
      </c>
      <c r="C14" s="16"/>
      <c r="D14" s="16"/>
      <c r="E14" s="16"/>
      <c r="F14" s="16"/>
      <c r="G14" s="16"/>
      <c r="H14" s="16"/>
      <c r="I14" s="16"/>
      <c r="J14" s="16">
        <v>3</v>
      </c>
      <c r="K14" s="16">
        <v>3</v>
      </c>
      <c r="L14" s="16">
        <v>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64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64" ht="15.75" x14ac:dyDescent="0.25">
      <c r="A16" s="17" t="s">
        <v>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"/>
      <c r="N16" s="1"/>
      <c r="O16" s="1"/>
      <c r="P16" s="1"/>
      <c r="Q16" s="1"/>
      <c r="R16" s="1"/>
      <c r="S16" s="1"/>
      <c r="T16" s="16"/>
      <c r="U16" s="16"/>
      <c r="V16" s="16"/>
      <c r="W16" s="16"/>
      <c r="X16" s="16"/>
      <c r="Y16" s="16"/>
      <c r="Z16" s="16"/>
    </row>
    <row r="17" spans="1:26" x14ac:dyDescent="0.25">
      <c r="A17" s="16"/>
      <c r="B17" s="16" t="s">
        <v>14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>
        <v>1</v>
      </c>
      <c r="T17" s="16"/>
      <c r="U17" s="16"/>
      <c r="V17" s="16"/>
      <c r="W17" s="16"/>
      <c r="X17" s="16"/>
      <c r="Y17" s="16"/>
      <c r="Z17" s="16"/>
    </row>
    <row r="18" spans="1:26" x14ac:dyDescent="0.25">
      <c r="A18" s="16"/>
      <c r="B18" s="16" t="s">
        <v>16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>
        <v>4</v>
      </c>
      <c r="N18" s="16">
        <v>4</v>
      </c>
      <c r="O18" s="16">
        <v>4</v>
      </c>
      <c r="P18" s="16">
        <v>4</v>
      </c>
      <c r="Q18" s="16">
        <v>4</v>
      </c>
      <c r="R18" s="16">
        <v>4</v>
      </c>
      <c r="S18" s="16">
        <v>4</v>
      </c>
      <c r="T18" s="16"/>
      <c r="U18" s="16"/>
      <c r="V18" s="16"/>
      <c r="W18" s="16"/>
      <c r="X18" s="16"/>
      <c r="Y18" s="16"/>
      <c r="Z18" s="16"/>
    </row>
    <row r="19" spans="1:26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x14ac:dyDescent="0.25">
      <c r="A22" s="2" t="s">
        <v>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26" x14ac:dyDescent="0.25">
      <c r="B23" s="16" t="s">
        <v>12</v>
      </c>
      <c r="C23" s="16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</row>
    <row r="24" spans="1:26" x14ac:dyDescent="0.25">
      <c r="B24" s="16" t="s">
        <v>13</v>
      </c>
      <c r="C24" s="16">
        <v>1</v>
      </c>
      <c r="D24" s="16">
        <v>1</v>
      </c>
      <c r="E24" s="16">
        <v>1</v>
      </c>
      <c r="F24" s="16">
        <v>2</v>
      </c>
      <c r="G24" s="16">
        <v>2</v>
      </c>
      <c r="H24" s="16">
        <v>2</v>
      </c>
      <c r="I24" s="16">
        <v>2</v>
      </c>
      <c r="J24" s="16">
        <v>2</v>
      </c>
      <c r="K24" s="16">
        <v>2</v>
      </c>
      <c r="L24" s="16">
        <v>2</v>
      </c>
      <c r="M24" s="16">
        <v>2</v>
      </c>
      <c r="N24" s="16">
        <v>2</v>
      </c>
    </row>
    <row r="25" spans="1:26" x14ac:dyDescent="0.25">
      <c r="B25" s="16"/>
      <c r="C25" s="16"/>
      <c r="D25" s="16"/>
      <c r="E25" s="16"/>
      <c r="F25" s="16"/>
    </row>
    <row r="26" spans="1:26" ht="15.75" x14ac:dyDescent="0.25">
      <c r="A26" s="17" t="s">
        <v>6</v>
      </c>
      <c r="B26" s="16"/>
      <c r="C26" s="2"/>
      <c r="D26" s="2"/>
      <c r="E26" s="2"/>
      <c r="K26" s="16"/>
      <c r="L26" s="16"/>
      <c r="M26" s="16"/>
      <c r="N26" s="16"/>
      <c r="O26" s="16"/>
      <c r="P26" s="16"/>
      <c r="Q26" s="16"/>
      <c r="R26" s="16"/>
      <c r="S26" s="16"/>
    </row>
    <row r="27" spans="1:26" x14ac:dyDescent="0.25">
      <c r="A27" s="16"/>
      <c r="B27" s="16" t="s">
        <v>14</v>
      </c>
      <c r="C27" s="16">
        <v>1.5</v>
      </c>
      <c r="D27" s="16">
        <v>1.5</v>
      </c>
      <c r="E27" s="16">
        <v>1.5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26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26" ht="15.75" x14ac:dyDescent="0.25">
      <c r="A29" s="17" t="s">
        <v>7</v>
      </c>
      <c r="B29" s="16"/>
      <c r="C29" s="16"/>
      <c r="D29" s="16"/>
      <c r="E29" s="16"/>
      <c r="F29" s="2"/>
      <c r="G29" s="2"/>
      <c r="H29" s="2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26" x14ac:dyDescent="0.25">
      <c r="A30" s="16"/>
      <c r="B30" s="16" t="s">
        <v>14</v>
      </c>
      <c r="C30" s="16"/>
      <c r="D30" s="16"/>
      <c r="E30" s="16"/>
      <c r="F30" s="16">
        <v>3</v>
      </c>
      <c r="G30" s="16">
        <v>3</v>
      </c>
      <c r="H30" s="16">
        <v>3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26" x14ac:dyDescent="0.25">
      <c r="A31" s="16"/>
      <c r="B31" s="16" t="s">
        <v>15</v>
      </c>
      <c r="C31" s="16"/>
      <c r="D31" s="16"/>
      <c r="E31" s="16"/>
      <c r="F31" s="16">
        <v>3</v>
      </c>
      <c r="G31" s="16">
        <v>3</v>
      </c>
      <c r="H31" s="16">
        <v>3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26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32" ht="15.75" x14ac:dyDescent="0.25">
      <c r="A33" s="17" t="s">
        <v>8</v>
      </c>
      <c r="B33" s="16"/>
      <c r="C33" s="16"/>
      <c r="D33" s="16"/>
      <c r="E33" s="16"/>
      <c r="F33" s="16"/>
      <c r="G33" s="16"/>
      <c r="H33" s="16"/>
      <c r="I33" s="2"/>
      <c r="J33" s="2"/>
      <c r="K33" s="2"/>
      <c r="L33" s="2"/>
      <c r="M33" s="2"/>
      <c r="N33" s="2"/>
      <c r="O33" s="16"/>
      <c r="P33" s="16"/>
      <c r="Q33" s="16"/>
      <c r="R33" s="16"/>
      <c r="S33" s="16"/>
    </row>
    <row r="34" spans="1:32" x14ac:dyDescent="0.25">
      <c r="A34" s="16"/>
      <c r="B34" s="16" t="s">
        <v>14</v>
      </c>
      <c r="C34" s="16"/>
      <c r="D34" s="16"/>
      <c r="E34" s="16"/>
      <c r="F34" s="16"/>
      <c r="G34" s="16"/>
      <c r="H34" s="16"/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/>
      <c r="P34" s="16"/>
      <c r="Q34" s="16"/>
      <c r="R34" s="16"/>
      <c r="S34" s="16"/>
    </row>
    <row r="35" spans="1:32" x14ac:dyDescent="0.25">
      <c r="A35" s="16"/>
      <c r="B35" s="16" t="s">
        <v>16</v>
      </c>
      <c r="C35" s="16"/>
      <c r="D35" s="16"/>
      <c r="E35" s="16"/>
      <c r="F35" s="16"/>
      <c r="G35" s="16"/>
      <c r="H35" s="16"/>
      <c r="I35" s="16">
        <v>4</v>
      </c>
      <c r="J35" s="16">
        <v>4</v>
      </c>
      <c r="K35" s="16">
        <v>4</v>
      </c>
      <c r="L35" s="16">
        <v>4</v>
      </c>
      <c r="M35" s="16">
        <v>4</v>
      </c>
      <c r="N35" s="16">
        <v>4</v>
      </c>
      <c r="O35" s="16"/>
      <c r="P35" s="16"/>
      <c r="Q35" s="16"/>
      <c r="R35" s="16"/>
      <c r="S35" s="16"/>
    </row>
    <row r="36" spans="1:32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32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9" spans="1:32" x14ac:dyDescent="0.25">
      <c r="A39" s="3" t="s">
        <v>4</v>
      </c>
      <c r="C39" s="3"/>
      <c r="D39" s="3"/>
      <c r="E39" s="3"/>
      <c r="F39" s="3"/>
      <c r="G39" s="3"/>
      <c r="H39" s="3"/>
      <c r="I39" s="3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1:32" x14ac:dyDescent="0.25">
      <c r="B40" s="16" t="s">
        <v>12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1:32" x14ac:dyDescent="0.25">
      <c r="B41" s="16" t="s">
        <v>13</v>
      </c>
      <c r="C41" s="16">
        <v>2</v>
      </c>
      <c r="D41" s="16">
        <v>2</v>
      </c>
      <c r="E41" s="16">
        <v>2</v>
      </c>
      <c r="F41" s="16">
        <v>2</v>
      </c>
      <c r="G41" s="16">
        <v>2</v>
      </c>
      <c r="H41" s="16">
        <v>2</v>
      </c>
      <c r="I41" s="16">
        <v>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3" spans="1:32" ht="15.75" x14ac:dyDescent="0.25">
      <c r="A43" s="17" t="s">
        <v>7</v>
      </c>
      <c r="B43" s="16"/>
      <c r="C43" s="3"/>
      <c r="D43" s="3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32" x14ac:dyDescent="0.25">
      <c r="A44" s="16"/>
      <c r="B44" s="16" t="s">
        <v>14</v>
      </c>
      <c r="C44" s="16">
        <v>3</v>
      </c>
      <c r="D44" s="16">
        <v>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32" x14ac:dyDescent="0.25">
      <c r="A45" s="16"/>
      <c r="B45" s="16" t="s">
        <v>15</v>
      </c>
      <c r="C45" s="16">
        <v>3</v>
      </c>
      <c r="D45" s="16">
        <v>3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32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32" ht="15.75" x14ac:dyDescent="0.25">
      <c r="A47" s="17" t="s">
        <v>8</v>
      </c>
      <c r="B47" s="16"/>
      <c r="C47" s="16"/>
      <c r="D47" s="16"/>
      <c r="E47" s="3"/>
      <c r="F47" s="3"/>
      <c r="G47" s="3"/>
      <c r="H47" s="3"/>
      <c r="I47" s="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32" x14ac:dyDescent="0.25">
      <c r="B48" s="16" t="s">
        <v>14</v>
      </c>
      <c r="C48" s="16"/>
      <c r="D48" s="16"/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x14ac:dyDescent="0.25">
      <c r="A49" s="16"/>
      <c r="B49" s="16" t="s">
        <v>16</v>
      </c>
      <c r="C49" s="16"/>
      <c r="D49" s="16"/>
      <c r="E49" s="16">
        <v>4</v>
      </c>
      <c r="F49" s="16">
        <v>4</v>
      </c>
      <c r="G49" s="16">
        <v>4</v>
      </c>
      <c r="H49" s="16">
        <v>4</v>
      </c>
      <c r="I49" s="16">
        <v>4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x14ac:dyDescent="0.25">
      <c r="A50" s="16"/>
      <c r="C50" s="16"/>
      <c r="D50" s="16"/>
      <c r="E50" s="16"/>
      <c r="F50" s="16"/>
      <c r="G50" s="16"/>
      <c r="H50" s="16"/>
    </row>
    <row r="51" spans="1:26" x14ac:dyDescent="0.25">
      <c r="O51" s="16"/>
      <c r="P51" s="16"/>
      <c r="Q51" s="16"/>
      <c r="R51" s="16"/>
      <c r="S51" s="16"/>
      <c r="T51" s="16"/>
    </row>
  </sheetData>
  <dataConsolidate/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J42"/>
  <sheetViews>
    <sheetView workbookViewId="0">
      <selection activeCell="A34" sqref="A34:A43"/>
    </sheetView>
  </sheetViews>
  <sheetFormatPr baseColWidth="10" defaultRowHeight="15" x14ac:dyDescent="0.25"/>
  <cols>
    <col min="1" max="2" width="20.7109375" customWidth="1"/>
    <col min="3" max="62" width="4.28515625" customWidth="1"/>
  </cols>
  <sheetData>
    <row r="1" spans="1:62" x14ac:dyDescent="0.25">
      <c r="A1" s="15" t="s">
        <v>32</v>
      </c>
      <c r="B1" s="15"/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  <c r="K1" s="15">
        <v>9</v>
      </c>
      <c r="L1" s="15">
        <v>10</v>
      </c>
      <c r="M1" s="15">
        <v>11</v>
      </c>
      <c r="N1" s="15">
        <v>12</v>
      </c>
      <c r="O1" s="15">
        <v>13</v>
      </c>
      <c r="P1" s="15">
        <v>14</v>
      </c>
      <c r="Q1" s="15">
        <v>15</v>
      </c>
      <c r="R1" s="15">
        <v>16</v>
      </c>
      <c r="S1" s="15">
        <v>17</v>
      </c>
      <c r="T1" s="15">
        <v>18</v>
      </c>
      <c r="U1" s="15">
        <v>19</v>
      </c>
      <c r="V1" s="15">
        <v>20</v>
      </c>
      <c r="W1" s="15">
        <v>21</v>
      </c>
      <c r="X1" s="15">
        <v>22</v>
      </c>
      <c r="Y1" s="15">
        <v>23</v>
      </c>
      <c r="Z1" s="15">
        <v>24</v>
      </c>
      <c r="AA1" s="15">
        <v>25</v>
      </c>
      <c r="AB1" s="15">
        <v>26</v>
      </c>
      <c r="AC1" s="15">
        <v>27</v>
      </c>
      <c r="AD1" s="15">
        <v>28</v>
      </c>
      <c r="AE1" s="15">
        <v>29</v>
      </c>
      <c r="AF1" s="15">
        <v>30</v>
      </c>
      <c r="AG1" s="15">
        <v>31</v>
      </c>
      <c r="AH1" s="15">
        <v>32</v>
      </c>
      <c r="AI1" s="15">
        <v>33</v>
      </c>
      <c r="AJ1" s="15">
        <v>34</v>
      </c>
      <c r="AK1" s="15">
        <v>35</v>
      </c>
      <c r="AL1" s="15">
        <v>36</v>
      </c>
      <c r="AM1" s="15">
        <v>37</v>
      </c>
      <c r="AN1" s="15">
        <v>38</v>
      </c>
      <c r="AO1" s="15">
        <v>39</v>
      </c>
      <c r="AP1" s="15">
        <v>40</v>
      </c>
      <c r="AQ1" s="15">
        <v>41</v>
      </c>
      <c r="AR1" s="15">
        <v>42</v>
      </c>
      <c r="AS1" s="15">
        <v>43</v>
      </c>
      <c r="AT1" s="15">
        <v>44</v>
      </c>
      <c r="AU1" s="15">
        <v>45</v>
      </c>
      <c r="AV1" s="15">
        <v>46</v>
      </c>
      <c r="AW1" s="15">
        <v>47</v>
      </c>
      <c r="AX1" s="15">
        <v>48</v>
      </c>
      <c r="AY1" s="15">
        <v>49</v>
      </c>
      <c r="AZ1" s="15">
        <v>50</v>
      </c>
      <c r="BA1" s="15">
        <v>51</v>
      </c>
      <c r="BB1" s="15">
        <v>52</v>
      </c>
      <c r="BC1" s="15">
        <v>53</v>
      </c>
      <c r="BD1" s="15">
        <v>54</v>
      </c>
      <c r="BE1" s="15">
        <v>55</v>
      </c>
      <c r="BF1" s="15">
        <v>56</v>
      </c>
      <c r="BG1" s="15">
        <v>57</v>
      </c>
      <c r="BH1" s="15">
        <v>58</v>
      </c>
      <c r="BI1" s="15">
        <v>59</v>
      </c>
      <c r="BJ1" s="15">
        <v>60</v>
      </c>
    </row>
    <row r="2" spans="1:62" x14ac:dyDescent="0.25">
      <c r="A2" s="1" t="s">
        <v>2</v>
      </c>
      <c r="C2" s="1" t="s">
        <v>1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62" x14ac:dyDescent="0.25">
      <c r="B3" s="16" t="s">
        <v>20</v>
      </c>
      <c r="C3" s="16">
        <v>1</v>
      </c>
      <c r="D3" s="16">
        <v>1</v>
      </c>
      <c r="E3" s="16">
        <v>1</v>
      </c>
      <c r="F3" s="16">
        <v>1</v>
      </c>
      <c r="G3" s="16">
        <v>2</v>
      </c>
      <c r="H3" s="16">
        <v>2</v>
      </c>
      <c r="I3" s="16">
        <v>2</v>
      </c>
      <c r="J3" s="16">
        <v>4</v>
      </c>
      <c r="K3" s="16">
        <v>4</v>
      </c>
      <c r="L3" s="16">
        <v>4</v>
      </c>
      <c r="M3" s="16">
        <v>4</v>
      </c>
      <c r="N3" s="16">
        <v>4</v>
      </c>
      <c r="O3" s="16">
        <v>4</v>
      </c>
      <c r="P3" s="16">
        <v>2</v>
      </c>
      <c r="Q3" s="16">
        <v>2</v>
      </c>
      <c r="R3" s="16">
        <v>1</v>
      </c>
      <c r="S3" s="16">
        <v>1</v>
      </c>
    </row>
    <row r="4" spans="1:62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62" x14ac:dyDescent="0.25">
      <c r="A5" s="16" t="s">
        <v>33</v>
      </c>
      <c r="B5" s="16"/>
      <c r="C5" s="1"/>
      <c r="D5" s="1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62" x14ac:dyDescent="0.25">
      <c r="B6" s="16" t="s">
        <v>20</v>
      </c>
      <c r="C6" s="16">
        <v>1</v>
      </c>
      <c r="D6" s="16">
        <v>2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62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62" x14ac:dyDescent="0.25">
      <c r="A8" s="16" t="s">
        <v>34</v>
      </c>
      <c r="B8" s="16"/>
      <c r="C8" s="16"/>
      <c r="D8" s="16"/>
      <c r="E8" s="1"/>
      <c r="F8" s="1"/>
      <c r="G8" s="1"/>
      <c r="H8" s="1"/>
      <c r="I8" s="1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62" x14ac:dyDescent="0.25">
      <c r="A9" s="16"/>
      <c r="B9" s="16" t="s">
        <v>19</v>
      </c>
      <c r="C9" s="16"/>
      <c r="D9" s="16"/>
      <c r="E9" s="16">
        <v>20</v>
      </c>
      <c r="F9" s="16">
        <v>20</v>
      </c>
      <c r="G9" s="16">
        <v>20</v>
      </c>
      <c r="H9" s="16">
        <v>20</v>
      </c>
      <c r="I9" s="16">
        <v>20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62" x14ac:dyDescent="0.25">
      <c r="A10" s="16"/>
      <c r="B10" s="16" t="s">
        <v>20</v>
      </c>
      <c r="C10" s="16"/>
      <c r="D10" s="16"/>
      <c r="E10" s="16">
        <v>2</v>
      </c>
      <c r="F10" s="16">
        <v>2</v>
      </c>
      <c r="G10" s="16">
        <v>2</v>
      </c>
      <c r="H10" s="16">
        <v>2</v>
      </c>
      <c r="I10" s="16">
        <v>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6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62" x14ac:dyDescent="0.25">
      <c r="A12" s="16" t="s">
        <v>35</v>
      </c>
      <c r="B12" s="16"/>
      <c r="C12" s="16"/>
      <c r="D12" s="16"/>
      <c r="E12" s="16"/>
      <c r="F12" s="16"/>
      <c r="G12" s="16"/>
      <c r="H12" s="16"/>
      <c r="I12" s="16"/>
      <c r="J12" s="1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62" x14ac:dyDescent="0.25">
      <c r="A13" s="16"/>
      <c r="B13" s="16" t="s">
        <v>19</v>
      </c>
      <c r="C13" s="16"/>
      <c r="D13" s="16"/>
      <c r="E13" s="16"/>
      <c r="F13" s="16"/>
      <c r="G13" s="16"/>
      <c r="H13" s="16"/>
      <c r="I13" s="16"/>
      <c r="J13" s="16">
        <v>10</v>
      </c>
      <c r="K13" s="16">
        <v>10</v>
      </c>
      <c r="L13" s="16">
        <v>10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6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62" x14ac:dyDescent="0.25">
      <c r="A15" s="16" t="s">
        <v>36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"/>
      <c r="N15" s="1"/>
      <c r="O15" s="1"/>
      <c r="P15" s="1"/>
      <c r="Q15" s="1"/>
      <c r="R15" s="1"/>
      <c r="S15" s="1"/>
      <c r="T15" s="16"/>
      <c r="U15" s="16"/>
      <c r="V15" s="16"/>
      <c r="W15" s="16"/>
      <c r="X15" s="16"/>
      <c r="Y15" s="16"/>
      <c r="Z15" s="16"/>
    </row>
    <row r="16" spans="1:62" x14ac:dyDescent="0.25">
      <c r="A16" s="16"/>
      <c r="B16" s="16" t="s">
        <v>18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>
        <v>2</v>
      </c>
      <c r="N16" s="16">
        <v>2</v>
      </c>
      <c r="O16" s="16">
        <v>2</v>
      </c>
      <c r="P16" s="16">
        <v>2</v>
      </c>
      <c r="Q16" s="16">
        <v>2</v>
      </c>
      <c r="R16" s="16">
        <v>2</v>
      </c>
      <c r="S16" s="16">
        <v>2</v>
      </c>
      <c r="T16" s="16"/>
      <c r="U16" s="16"/>
      <c r="V16" s="16"/>
      <c r="W16" s="16"/>
      <c r="X16" s="16"/>
      <c r="Y16" s="16"/>
      <c r="Z16" s="16"/>
    </row>
    <row r="17" spans="1:26" x14ac:dyDescent="0.25">
      <c r="A17" s="16"/>
      <c r="B17" s="16" t="s">
        <v>20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>
        <v>5</v>
      </c>
      <c r="N17" s="16">
        <v>5</v>
      </c>
      <c r="O17" s="16">
        <v>5</v>
      </c>
      <c r="P17" s="16">
        <v>5</v>
      </c>
      <c r="Q17" s="16">
        <v>5</v>
      </c>
      <c r="R17" s="16">
        <v>5</v>
      </c>
      <c r="S17" s="16">
        <v>5</v>
      </c>
      <c r="T17" s="16"/>
      <c r="U17" s="16"/>
      <c r="V17" s="16"/>
      <c r="W17" s="16"/>
      <c r="X17" s="16"/>
      <c r="Y17" s="16"/>
      <c r="Z17" s="16"/>
    </row>
    <row r="18" spans="1:26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5">
      <c r="A21" s="2" t="s">
        <v>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26" x14ac:dyDescent="0.25">
      <c r="B22" s="16"/>
      <c r="C22" s="16"/>
      <c r="D22" s="16"/>
      <c r="E22" s="16"/>
      <c r="F22" s="16"/>
    </row>
    <row r="23" spans="1:26" x14ac:dyDescent="0.25">
      <c r="A23" s="16" t="s">
        <v>34</v>
      </c>
      <c r="B23" s="16"/>
      <c r="C23" s="2"/>
      <c r="D23" s="2"/>
      <c r="E23" s="2"/>
      <c r="F23" s="16"/>
    </row>
    <row r="24" spans="1:26" x14ac:dyDescent="0.25">
      <c r="A24" s="16"/>
      <c r="B24" s="16" t="s">
        <v>19</v>
      </c>
      <c r="C24" s="16">
        <v>20</v>
      </c>
      <c r="D24" s="16">
        <v>20</v>
      </c>
      <c r="E24" s="16">
        <v>20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25">
      <c r="A26" s="16" t="s">
        <v>35</v>
      </c>
      <c r="B26" s="16"/>
      <c r="C26" s="16"/>
      <c r="D26" s="16"/>
      <c r="E26" s="16"/>
      <c r="F26" s="2"/>
      <c r="G26" s="2"/>
      <c r="H26" s="2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x14ac:dyDescent="0.25">
      <c r="A27" s="16"/>
      <c r="B27" s="16" t="s">
        <v>19</v>
      </c>
      <c r="C27" s="16"/>
      <c r="D27" s="16"/>
      <c r="E27" s="16"/>
      <c r="F27" s="16">
        <v>10</v>
      </c>
      <c r="G27" s="16">
        <v>10</v>
      </c>
      <c r="H27" s="16">
        <v>10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x14ac:dyDescent="0.25">
      <c r="A29" s="16" t="s">
        <v>36</v>
      </c>
      <c r="B29" s="16"/>
      <c r="C29" s="16"/>
      <c r="D29" s="16"/>
      <c r="E29" s="16"/>
      <c r="F29" s="16"/>
      <c r="G29" s="16"/>
      <c r="H29" s="16"/>
      <c r="I29" s="2"/>
      <c r="J29" s="2"/>
      <c r="K29" s="2"/>
      <c r="L29" s="2"/>
      <c r="M29" s="2"/>
      <c r="N29" s="2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25">
      <c r="A30" s="16"/>
      <c r="B30" s="16" t="s">
        <v>18</v>
      </c>
      <c r="C30" s="16"/>
      <c r="D30" s="16"/>
      <c r="E30" s="16"/>
      <c r="F30" s="16"/>
      <c r="G30" s="16"/>
      <c r="H30" s="16"/>
      <c r="I30" s="16">
        <v>2</v>
      </c>
      <c r="J30" s="16">
        <v>2</v>
      </c>
      <c r="K30" s="16">
        <v>2</v>
      </c>
      <c r="L30" s="16">
        <v>2</v>
      </c>
      <c r="M30" s="16">
        <v>2</v>
      </c>
      <c r="N30" s="16">
        <v>2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4" spans="1:32" x14ac:dyDescent="0.25">
      <c r="A34" s="3" t="s">
        <v>4</v>
      </c>
      <c r="C34" s="3"/>
      <c r="D34" s="3"/>
      <c r="E34" s="3"/>
      <c r="F34" s="3"/>
      <c r="G34" s="3"/>
      <c r="H34" s="3"/>
      <c r="I34" s="3"/>
    </row>
    <row r="35" spans="1:32" x14ac:dyDescent="0.25">
      <c r="B35" s="16" t="s">
        <v>20</v>
      </c>
      <c r="C35" s="16">
        <v>2</v>
      </c>
      <c r="D35" s="16">
        <v>2</v>
      </c>
      <c r="E35" s="16">
        <v>2</v>
      </c>
      <c r="F35" s="16">
        <v>2</v>
      </c>
      <c r="G35" s="16">
        <v>2</v>
      </c>
      <c r="H35" s="16">
        <v>2</v>
      </c>
      <c r="I35" s="16">
        <v>2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7" spans="1:32" x14ac:dyDescent="0.25">
      <c r="A37" s="16" t="s">
        <v>35</v>
      </c>
      <c r="C37" s="3"/>
      <c r="D37" s="3"/>
    </row>
    <row r="38" spans="1:32" x14ac:dyDescent="0.25">
      <c r="B38" s="16" t="s">
        <v>19</v>
      </c>
      <c r="C38" s="16">
        <v>10</v>
      </c>
      <c r="D38" s="16">
        <v>10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32" x14ac:dyDescent="0.25">
      <c r="B39" s="16"/>
    </row>
    <row r="40" spans="1:32" x14ac:dyDescent="0.25">
      <c r="A40" s="16" t="s">
        <v>36</v>
      </c>
      <c r="B40" s="16"/>
      <c r="E40" s="3"/>
      <c r="F40" s="3"/>
      <c r="G40" s="3"/>
      <c r="H40" s="3"/>
      <c r="I40" s="3"/>
    </row>
    <row r="41" spans="1:32" x14ac:dyDescent="0.25">
      <c r="A41" s="16"/>
      <c r="B41" s="16" t="s">
        <v>18</v>
      </c>
      <c r="C41" s="16"/>
      <c r="D41" s="16"/>
      <c r="E41" s="16">
        <v>2</v>
      </c>
      <c r="F41" s="16">
        <v>2</v>
      </c>
      <c r="G41" s="16">
        <v>2</v>
      </c>
      <c r="H41" s="16">
        <v>4</v>
      </c>
      <c r="I41" s="16">
        <v>4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32" x14ac:dyDescent="0.25">
      <c r="A42" s="16"/>
      <c r="B42" s="16" t="s">
        <v>20</v>
      </c>
      <c r="C42" s="16"/>
      <c r="D42" s="16"/>
      <c r="E42" s="16">
        <v>0.5</v>
      </c>
      <c r="F42" s="16">
        <v>0.5</v>
      </c>
      <c r="G42" s="16">
        <v>0.5</v>
      </c>
      <c r="H42" s="16">
        <v>0.5</v>
      </c>
      <c r="I42" s="16">
        <v>0.5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</row>
  </sheetData>
  <dataConsolidate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H32"/>
  <sheetViews>
    <sheetView showRowColHeaders="0" workbookViewId="0">
      <selection activeCell="A2" sqref="A2"/>
    </sheetView>
  </sheetViews>
  <sheetFormatPr baseColWidth="10" defaultRowHeight="15" x14ac:dyDescent="0.25"/>
  <cols>
    <col min="1" max="1" width="17.5703125" customWidth="1"/>
    <col min="2" max="2" width="18.5703125" customWidth="1"/>
    <col min="3" max="3" width="15.85546875" customWidth="1"/>
    <col min="4" max="4" width="17.42578125" customWidth="1"/>
    <col min="5" max="5" width="15.28515625" customWidth="1"/>
    <col min="6" max="6" width="16.28515625" customWidth="1"/>
    <col min="7" max="7" width="15.7109375" customWidth="1"/>
    <col min="8" max="8" width="25.5703125" customWidth="1"/>
  </cols>
  <sheetData>
    <row r="1" spans="1: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25">
      <c r="A2" t="s">
        <v>45</v>
      </c>
      <c r="B2" t="s">
        <v>2</v>
      </c>
      <c r="C2" s="18">
        <v>40969</v>
      </c>
      <c r="D2">
        <v>17</v>
      </c>
      <c r="E2">
        <v>0.24</v>
      </c>
      <c r="F2">
        <v>6.1</v>
      </c>
      <c r="G2">
        <v>6.6</v>
      </c>
      <c r="H2" t="s">
        <v>46</v>
      </c>
    </row>
    <row r="3" spans="1:8" x14ac:dyDescent="0.25">
      <c r="A3" t="s">
        <v>59</v>
      </c>
      <c r="B3" t="s">
        <v>2</v>
      </c>
      <c r="C3" s="18">
        <v>41000</v>
      </c>
      <c r="D3">
        <v>17</v>
      </c>
      <c r="E3">
        <v>0.17400000000000002</v>
      </c>
      <c r="F3">
        <v>3.5</v>
      </c>
      <c r="G3">
        <v>6.2</v>
      </c>
      <c r="H3" t="s">
        <v>46</v>
      </c>
    </row>
    <row r="4" spans="1:8" x14ac:dyDescent="0.25">
      <c r="A4" t="s">
        <v>47</v>
      </c>
      <c r="B4" t="s">
        <v>2</v>
      </c>
      <c r="C4" s="18">
        <v>41214</v>
      </c>
      <c r="D4">
        <v>17</v>
      </c>
      <c r="E4">
        <v>0.153</v>
      </c>
      <c r="F4">
        <v>8.5</v>
      </c>
      <c r="G4">
        <v>4.3</v>
      </c>
      <c r="H4" t="s">
        <v>46</v>
      </c>
    </row>
    <row r="5" spans="1:8" x14ac:dyDescent="0.25">
      <c r="A5" t="s">
        <v>48</v>
      </c>
      <c r="B5" t="s">
        <v>2</v>
      </c>
      <c r="C5" s="18">
        <v>41365</v>
      </c>
      <c r="D5">
        <v>17</v>
      </c>
      <c r="E5">
        <v>0.28999999999999998</v>
      </c>
      <c r="F5">
        <v>7</v>
      </c>
      <c r="G5">
        <v>7.7</v>
      </c>
      <c r="H5" t="s">
        <v>49</v>
      </c>
    </row>
    <row r="6" spans="1:8" x14ac:dyDescent="0.25">
      <c r="A6" t="s">
        <v>66</v>
      </c>
      <c r="B6" t="s">
        <v>2</v>
      </c>
      <c r="C6" s="18">
        <v>41579</v>
      </c>
      <c r="D6">
        <v>17</v>
      </c>
      <c r="E6">
        <v>3.0000000000000001E-3</v>
      </c>
      <c r="F6">
        <v>0.9</v>
      </c>
      <c r="G6">
        <v>2</v>
      </c>
      <c r="H6" t="s">
        <v>49</v>
      </c>
    </row>
    <row r="7" spans="1:8" x14ac:dyDescent="0.25">
      <c r="A7" t="s">
        <v>69</v>
      </c>
      <c r="B7" t="s">
        <v>4</v>
      </c>
      <c r="C7" s="18">
        <v>41671</v>
      </c>
      <c r="D7">
        <v>7</v>
      </c>
      <c r="E7">
        <v>0.10200000000000001</v>
      </c>
      <c r="F7">
        <v>1.4</v>
      </c>
      <c r="G7">
        <v>6</v>
      </c>
      <c r="H7" t="s">
        <v>49</v>
      </c>
    </row>
    <row r="8" spans="1:8" x14ac:dyDescent="0.25">
      <c r="A8" t="s">
        <v>70</v>
      </c>
      <c r="B8" t="s">
        <v>4</v>
      </c>
      <c r="C8" s="18">
        <v>41395</v>
      </c>
      <c r="D8">
        <v>7</v>
      </c>
      <c r="E8">
        <v>1.8000000000000002E-2</v>
      </c>
      <c r="F8">
        <v>5.2</v>
      </c>
      <c r="G8">
        <v>7.1</v>
      </c>
      <c r="H8" t="s">
        <v>49</v>
      </c>
    </row>
    <row r="9" spans="1:8" x14ac:dyDescent="0.25">
      <c r="A9" t="s">
        <v>60</v>
      </c>
      <c r="B9" t="s">
        <v>4</v>
      </c>
      <c r="C9" s="18">
        <v>41883</v>
      </c>
      <c r="D9">
        <v>7</v>
      </c>
      <c r="E9">
        <v>0.3</v>
      </c>
      <c r="F9">
        <v>3.1</v>
      </c>
      <c r="G9">
        <v>7</v>
      </c>
      <c r="H9" t="s">
        <v>49</v>
      </c>
    </row>
    <row r="10" spans="1:8" x14ac:dyDescent="0.25">
      <c r="A10" t="s">
        <v>62</v>
      </c>
      <c r="B10" t="s">
        <v>4</v>
      </c>
      <c r="C10" s="18">
        <v>41640</v>
      </c>
      <c r="D10">
        <v>7</v>
      </c>
      <c r="E10">
        <v>0.252</v>
      </c>
      <c r="F10">
        <v>0.8</v>
      </c>
      <c r="G10">
        <v>1.7</v>
      </c>
      <c r="H10" t="s">
        <v>49</v>
      </c>
    </row>
    <row r="11" spans="1:8" x14ac:dyDescent="0.25">
      <c r="A11" t="s">
        <v>71</v>
      </c>
      <c r="B11" t="s">
        <v>4</v>
      </c>
      <c r="C11" s="18">
        <v>41913</v>
      </c>
      <c r="D11">
        <v>7</v>
      </c>
      <c r="E11">
        <v>0.28500000000000003</v>
      </c>
      <c r="F11">
        <v>8.5</v>
      </c>
      <c r="G11">
        <v>5.5</v>
      </c>
      <c r="H11" t="s">
        <v>49</v>
      </c>
    </row>
    <row r="12" spans="1:8" x14ac:dyDescent="0.25">
      <c r="A12" t="s">
        <v>72</v>
      </c>
      <c r="B12" t="s">
        <v>4</v>
      </c>
      <c r="C12" s="18">
        <v>41883</v>
      </c>
      <c r="D12">
        <v>7</v>
      </c>
      <c r="E12">
        <v>0.114</v>
      </c>
      <c r="F12">
        <v>3.1</v>
      </c>
      <c r="G12">
        <v>9.8000000000000007</v>
      </c>
      <c r="H12" t="s">
        <v>49</v>
      </c>
    </row>
    <row r="13" spans="1:8" x14ac:dyDescent="0.25">
      <c r="A13" t="s">
        <v>67</v>
      </c>
      <c r="B13" t="s">
        <v>4</v>
      </c>
      <c r="C13" s="18">
        <v>41730</v>
      </c>
      <c r="D13">
        <v>7</v>
      </c>
      <c r="E13">
        <v>0.255</v>
      </c>
      <c r="F13">
        <v>2.5</v>
      </c>
      <c r="G13">
        <v>2.2000000000000002</v>
      </c>
      <c r="H13" t="s">
        <v>49</v>
      </c>
    </row>
    <row r="14" spans="1:8" x14ac:dyDescent="0.25">
      <c r="A14" t="s">
        <v>63</v>
      </c>
      <c r="B14" t="s">
        <v>4</v>
      </c>
      <c r="C14" s="18">
        <v>41730</v>
      </c>
      <c r="D14">
        <v>7</v>
      </c>
      <c r="E14">
        <v>0.27900000000000003</v>
      </c>
      <c r="F14">
        <v>4</v>
      </c>
      <c r="G14">
        <v>4.3</v>
      </c>
      <c r="H14" t="s">
        <v>49</v>
      </c>
    </row>
    <row r="15" spans="1:8" x14ac:dyDescent="0.25">
      <c r="A15" t="s">
        <v>55</v>
      </c>
      <c r="B15" t="s">
        <v>4</v>
      </c>
      <c r="C15" s="18">
        <v>41122</v>
      </c>
      <c r="D15">
        <v>7</v>
      </c>
      <c r="E15">
        <v>0.123</v>
      </c>
      <c r="F15">
        <v>0.8</v>
      </c>
      <c r="G15">
        <v>6.6</v>
      </c>
      <c r="H15" t="s">
        <v>46</v>
      </c>
    </row>
    <row r="16" spans="1:8" x14ac:dyDescent="0.25">
      <c r="A16" t="s">
        <v>56</v>
      </c>
      <c r="B16" t="s">
        <v>4</v>
      </c>
      <c r="C16" s="18">
        <v>41395</v>
      </c>
      <c r="D16">
        <v>7</v>
      </c>
      <c r="E16">
        <v>0.255</v>
      </c>
      <c r="F16">
        <v>4.4000000000000004</v>
      </c>
      <c r="G16">
        <v>9.9</v>
      </c>
      <c r="H16" t="s">
        <v>49</v>
      </c>
    </row>
    <row r="17" spans="1:8" x14ac:dyDescent="0.25">
      <c r="A17" t="s">
        <v>73</v>
      </c>
      <c r="B17" t="s">
        <v>4</v>
      </c>
      <c r="C17" s="18">
        <v>41609</v>
      </c>
      <c r="D17">
        <v>7</v>
      </c>
      <c r="E17">
        <v>0.252</v>
      </c>
      <c r="F17">
        <v>9.4</v>
      </c>
      <c r="G17">
        <v>3.8</v>
      </c>
      <c r="H17" t="s">
        <v>49</v>
      </c>
    </row>
    <row r="18" spans="1:8" x14ac:dyDescent="0.25">
      <c r="A18" t="s">
        <v>74</v>
      </c>
      <c r="B18" t="s">
        <v>4</v>
      </c>
      <c r="C18" s="18">
        <v>41699</v>
      </c>
      <c r="D18">
        <v>7</v>
      </c>
      <c r="E18">
        <v>7.3999999999999996E-2</v>
      </c>
      <c r="F18">
        <v>5</v>
      </c>
      <c r="G18">
        <v>9.6</v>
      </c>
      <c r="H18" t="s">
        <v>49</v>
      </c>
    </row>
    <row r="19" spans="1:8" x14ac:dyDescent="0.25">
      <c r="A19" t="s">
        <v>57</v>
      </c>
      <c r="B19" t="s">
        <v>4</v>
      </c>
      <c r="C19" s="18">
        <v>41821</v>
      </c>
      <c r="D19">
        <v>7</v>
      </c>
      <c r="E19">
        <v>0.246</v>
      </c>
      <c r="F19">
        <v>2.9</v>
      </c>
      <c r="G19">
        <v>1.8</v>
      </c>
      <c r="H19" t="s">
        <v>49</v>
      </c>
    </row>
    <row r="20" spans="1:8" x14ac:dyDescent="0.25">
      <c r="A20" t="s">
        <v>75</v>
      </c>
      <c r="B20" t="s">
        <v>4</v>
      </c>
      <c r="C20" s="18">
        <v>41579</v>
      </c>
      <c r="D20">
        <v>7</v>
      </c>
      <c r="E20">
        <v>0.153</v>
      </c>
      <c r="F20">
        <v>4.7</v>
      </c>
      <c r="G20">
        <v>5.4</v>
      </c>
      <c r="H20" t="s">
        <v>49</v>
      </c>
    </row>
    <row r="21" spans="1:8" x14ac:dyDescent="0.25">
      <c r="A21" t="s">
        <v>58</v>
      </c>
      <c r="B21" t="s">
        <v>4</v>
      </c>
      <c r="C21" s="18">
        <v>41153</v>
      </c>
      <c r="D21">
        <v>7</v>
      </c>
      <c r="E21">
        <v>0.26700000000000002</v>
      </c>
      <c r="F21">
        <v>8</v>
      </c>
      <c r="G21">
        <v>7.7</v>
      </c>
      <c r="H21" t="s">
        <v>46</v>
      </c>
    </row>
    <row r="22" spans="1:8" x14ac:dyDescent="0.25">
      <c r="A22" t="s">
        <v>50</v>
      </c>
      <c r="B22" t="s">
        <v>3</v>
      </c>
      <c r="C22" s="18">
        <v>41122</v>
      </c>
      <c r="D22">
        <v>12</v>
      </c>
      <c r="E22">
        <v>0.19500000000000001</v>
      </c>
      <c r="F22">
        <v>7.1</v>
      </c>
      <c r="G22">
        <v>0.3</v>
      </c>
      <c r="H22" t="s">
        <v>46</v>
      </c>
    </row>
    <row r="23" spans="1:8" x14ac:dyDescent="0.25">
      <c r="A23" t="s">
        <v>76</v>
      </c>
      <c r="B23" t="s">
        <v>3</v>
      </c>
      <c r="C23" s="18">
        <v>41730</v>
      </c>
      <c r="D23">
        <v>12</v>
      </c>
      <c r="E23">
        <v>0.09</v>
      </c>
      <c r="F23">
        <v>2</v>
      </c>
      <c r="G23">
        <v>3.6</v>
      </c>
      <c r="H23" t="s">
        <v>49</v>
      </c>
    </row>
    <row r="24" spans="1:8" x14ac:dyDescent="0.25">
      <c r="A24" t="s">
        <v>77</v>
      </c>
      <c r="B24" t="s">
        <v>3</v>
      </c>
      <c r="C24" s="18">
        <v>41183</v>
      </c>
      <c r="D24">
        <v>12</v>
      </c>
      <c r="E24">
        <v>4.8000000000000001E-2</v>
      </c>
      <c r="F24">
        <v>9.5</v>
      </c>
      <c r="G24">
        <v>9.4</v>
      </c>
      <c r="H24" t="s">
        <v>46</v>
      </c>
    </row>
    <row r="25" spans="1:8" x14ac:dyDescent="0.25">
      <c r="A25" t="s">
        <v>51</v>
      </c>
      <c r="B25" t="s">
        <v>3</v>
      </c>
      <c r="C25" s="18">
        <v>41122</v>
      </c>
      <c r="D25">
        <v>12</v>
      </c>
      <c r="E25">
        <v>0.216</v>
      </c>
      <c r="F25">
        <v>5.5</v>
      </c>
      <c r="G25">
        <v>4.5999999999999996</v>
      </c>
      <c r="H25" t="s">
        <v>46</v>
      </c>
    </row>
    <row r="26" spans="1:8" x14ac:dyDescent="0.25">
      <c r="A26" t="s">
        <v>52</v>
      </c>
      <c r="B26" t="s">
        <v>3</v>
      </c>
      <c r="C26" s="18">
        <v>41183</v>
      </c>
      <c r="D26">
        <v>12</v>
      </c>
      <c r="E26">
        <v>0.13500000000000001</v>
      </c>
      <c r="F26">
        <v>5.8</v>
      </c>
      <c r="G26">
        <v>9.6</v>
      </c>
      <c r="H26" t="s">
        <v>46</v>
      </c>
    </row>
    <row r="27" spans="1:8" x14ac:dyDescent="0.25">
      <c r="A27" t="s">
        <v>54</v>
      </c>
      <c r="B27" t="s">
        <v>3</v>
      </c>
      <c r="C27" s="18">
        <v>41426</v>
      </c>
      <c r="D27">
        <v>12</v>
      </c>
      <c r="E27">
        <v>0.19500000000000001</v>
      </c>
      <c r="F27">
        <v>5</v>
      </c>
      <c r="G27">
        <v>5</v>
      </c>
      <c r="H27" t="s">
        <v>49</v>
      </c>
    </row>
    <row r="28" spans="1:8" x14ac:dyDescent="0.25">
      <c r="A28" t="s">
        <v>68</v>
      </c>
      <c r="B28" t="s">
        <v>3</v>
      </c>
      <c r="C28" s="18">
        <v>41579</v>
      </c>
      <c r="D28">
        <v>12</v>
      </c>
      <c r="E28">
        <v>6.3E-2</v>
      </c>
      <c r="F28">
        <v>9.3000000000000007</v>
      </c>
      <c r="G28">
        <v>7.2</v>
      </c>
      <c r="H28" t="s">
        <v>49</v>
      </c>
    </row>
    <row r="29" spans="1:8" x14ac:dyDescent="0.25">
      <c r="A29" t="s">
        <v>53</v>
      </c>
      <c r="B29" t="s">
        <v>3</v>
      </c>
      <c r="C29" s="18">
        <v>41395</v>
      </c>
      <c r="D29">
        <v>12</v>
      </c>
      <c r="E29">
        <v>4.8000000000000001E-2</v>
      </c>
      <c r="F29">
        <v>6.5</v>
      </c>
      <c r="G29">
        <v>4.9000000000000004</v>
      </c>
      <c r="H29" t="s">
        <v>49</v>
      </c>
    </row>
    <row r="30" spans="1:8" x14ac:dyDescent="0.25">
      <c r="A30" t="s">
        <v>64</v>
      </c>
      <c r="B30" t="s">
        <v>3</v>
      </c>
      <c r="C30" s="18">
        <v>41913</v>
      </c>
      <c r="D30">
        <v>12</v>
      </c>
      <c r="E30">
        <v>0.123</v>
      </c>
      <c r="F30">
        <v>7</v>
      </c>
      <c r="G30">
        <v>3.3</v>
      </c>
      <c r="H30" t="s">
        <v>49</v>
      </c>
    </row>
    <row r="31" spans="1:8" x14ac:dyDescent="0.25">
      <c r="A31" t="s">
        <v>65</v>
      </c>
      <c r="B31" t="s">
        <v>3</v>
      </c>
      <c r="C31" s="18">
        <v>41913</v>
      </c>
      <c r="D31">
        <v>12</v>
      </c>
      <c r="E31">
        <v>0.111</v>
      </c>
      <c r="F31">
        <v>9.1</v>
      </c>
      <c r="G31">
        <v>4.7</v>
      </c>
      <c r="H31" t="s">
        <v>49</v>
      </c>
    </row>
    <row r="32" spans="1:8" x14ac:dyDescent="0.25">
      <c r="A32" t="s">
        <v>61</v>
      </c>
    </row>
  </sheetData>
  <dataConsolidate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43</vt:i4>
      </vt:variant>
    </vt:vector>
  </HeadingPairs>
  <TitlesOfParts>
    <vt:vector size="47" baseType="lpstr">
      <vt:lpstr>Einstellungen</vt:lpstr>
      <vt:lpstr>Projektdefinition Ressourcen</vt:lpstr>
      <vt:lpstr>Projektdefinition Kosten</vt:lpstr>
      <vt:lpstr>Portfolio</vt:lpstr>
      <vt:lpstr>AmpelGelb</vt:lpstr>
      <vt:lpstr>AmpelGruen</vt:lpstr>
      <vt:lpstr>AmpelNichtBewertet</vt:lpstr>
      <vt:lpstr>AmpelRot</vt:lpstr>
      <vt:lpstr>Arbeitstage_pro_Monat</vt:lpstr>
      <vt:lpstr>awin_Kosten_Definition</vt:lpstr>
      <vt:lpstr>awin_Phasen_Definition</vt:lpstr>
      <vt:lpstr>awin_Rollen_Definition</vt:lpstr>
      <vt:lpstr>Datenbank</vt:lpstr>
      <vt:lpstr>EinzelRessourcenExport</vt:lpstr>
      <vt:lpstr>Ergebnisfarbe1</vt:lpstr>
      <vt:lpstr>Ergebnisfarbe2</vt:lpstr>
      <vt:lpstr>Farbe_externe_Ressourcen</vt:lpstr>
      <vt:lpstr>Farbe_für_Projekte_ohne_Vorlage</vt:lpstr>
      <vt:lpstr>Farbe_intern_ohne_Projekte</vt:lpstr>
      <vt:lpstr>Farbe_Ress_Kost_Werte</vt:lpstr>
      <vt:lpstr>GlowColor</vt:lpstr>
      <vt:lpstr>kapaEinheit</vt:lpstr>
      <vt:lpstr>Linker_Rand_Ressourcen_Diagramme</vt:lpstr>
      <vt:lpstr>Max_Dauer_eines_Projektes</vt:lpstr>
      <vt:lpstr>NoShow_Time_Zone_Color</vt:lpstr>
      <vt:lpstr>offsetEinheit</vt:lpstr>
      <vt:lpstr>P1_CostDefinition</vt:lpstr>
      <vt:lpstr>P1_Definition</vt:lpstr>
      <vt:lpstr>P2_CostDefinition</vt:lpstr>
      <vt:lpstr>P2_Definition</vt:lpstr>
      <vt:lpstr>P3_CostDefinition</vt:lpstr>
      <vt:lpstr>P3_Definition</vt:lpstr>
      <vt:lpstr>Projektliste</vt:lpstr>
      <vt:lpstr>Rechter_Rand_Ressourcen_Diagramme</vt:lpstr>
      <vt:lpstr>Show_Time_Zone_Color</vt:lpstr>
      <vt:lpstr>Soll_Ist_Farbe_Aktuell</vt:lpstr>
      <vt:lpstr>Soll_Ist_Farbe_Beauftragung</vt:lpstr>
      <vt:lpstr>Soll_Ist_Farbe_letzte_Freigabe</vt:lpstr>
      <vt:lpstr>Spaltenbreite</vt:lpstr>
      <vt:lpstr>Start_Kalender</vt:lpstr>
      <vt:lpstr>Vergleichsfarbe1</vt:lpstr>
      <vt:lpstr>Vergleichsfarbe2</vt:lpstr>
      <vt:lpstr>Vergleichsfarbe3</vt:lpstr>
      <vt:lpstr>WeightStrategicFit</vt:lpstr>
      <vt:lpstr>Zeilenhoehe1</vt:lpstr>
      <vt:lpstr>Zeilenhoehe2</vt:lpstr>
      <vt:lpstr>Zeiteinheit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2013-01-26T14:59:08Z</dcterms:created>
  <dcterms:modified xsi:type="dcterms:W3CDTF">2014-01-29T21:28:11Z</dcterms:modified>
</cp:coreProperties>
</file>