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/>
  </bookViews>
  <sheets>
    <sheet name="Summary" sheetId="1" r:id="rId1"/>
    <sheet name="Kapazität" sheetId="3" r:id="rId2"/>
  </sheets>
  <definedNames>
    <definedName name="Personenliste">Kapazität!$A$2:$A$10</definedName>
  </definedNames>
  <calcPr calcId="145621"/>
</workbook>
</file>

<file path=xl/calcChain.xml><?xml version="1.0" encoding="utf-8"?>
<calcChain xmlns="http://schemas.openxmlformats.org/spreadsheetml/2006/main">
  <c r="J24" i="1" l="1"/>
  <c r="I24" i="1"/>
  <c r="H24" i="1"/>
  <c r="G24" i="1"/>
  <c r="F24" i="1"/>
  <c r="E24" i="1"/>
  <c r="T10" i="3" l="1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M10" i="3"/>
  <c r="N10" i="3"/>
  <c r="O10" i="3"/>
  <c r="P10" i="3"/>
  <c r="Q10" i="3"/>
  <c r="R10" i="3"/>
  <c r="S10" i="3"/>
  <c r="L10" i="3"/>
  <c r="C10" i="3"/>
  <c r="D10" i="3"/>
  <c r="E10" i="3"/>
  <c r="F10" i="3"/>
  <c r="G10" i="3"/>
  <c r="H10" i="3"/>
  <c r="I10" i="3"/>
  <c r="J10" i="3"/>
  <c r="K10" i="3"/>
  <c r="B10" i="3"/>
  <c r="B14" i="3" l="1"/>
</calcChain>
</file>

<file path=xl/sharedStrings.xml><?xml version="1.0" encoding="utf-8"?>
<sst xmlns="http://schemas.openxmlformats.org/spreadsheetml/2006/main" count="36" uniqueCount="36">
  <si>
    <t>Projektleiter</t>
  </si>
  <si>
    <t>Projekt</t>
  </si>
  <si>
    <t>Kapazität</t>
  </si>
  <si>
    <t>Summe</t>
  </si>
  <si>
    <t>Summe intern</t>
  </si>
  <si>
    <t xml:space="preserve"> </t>
  </si>
  <si>
    <t>Paul</t>
  </si>
  <si>
    <t>Peter</t>
  </si>
  <si>
    <t>Paola</t>
  </si>
  <si>
    <t>Pia</t>
  </si>
  <si>
    <t>Penelope</t>
  </si>
  <si>
    <t>Patrick</t>
  </si>
  <si>
    <t>Sicherheit</t>
  </si>
  <si>
    <t>Durchschnitt</t>
  </si>
  <si>
    <t>Innovation 1</t>
  </si>
  <si>
    <t>Innovation 2</t>
  </si>
  <si>
    <t>Innovation 3</t>
  </si>
  <si>
    <t>Innovation 4</t>
  </si>
  <si>
    <t>Innovation 5</t>
  </si>
  <si>
    <t>Einführung 1</t>
  </si>
  <si>
    <t>Einführung 2</t>
  </si>
  <si>
    <t>Einführung 3</t>
  </si>
  <si>
    <t>Einführung 4</t>
  </si>
  <si>
    <t>Einführung 5</t>
  </si>
  <si>
    <t>Entwicklung 1</t>
  </si>
  <si>
    <t>Entwicklung 2</t>
  </si>
  <si>
    <t>Entwicklung 3</t>
  </si>
  <si>
    <t>Entwicklung 4</t>
  </si>
  <si>
    <t>Innovation 6</t>
  </si>
  <si>
    <t>Petra</t>
  </si>
  <si>
    <t>Pang</t>
  </si>
  <si>
    <t>Einführung 10</t>
  </si>
  <si>
    <t>Einführung 6</t>
  </si>
  <si>
    <t>Einführung 7</t>
  </si>
  <si>
    <t>Einführung 8</t>
  </si>
  <si>
    <t>Einführung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</si>
</sst>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7]mmm/\ 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F2B8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7" fontId="0" fillId="0" borderId="0" xfId="0" applyNumberFormat="1" applyAlignment="1">
      <alignment horizontal="center" vertical="center"/>
    </xf>
    <xf numFmtId="0" fontId="0" fillId="2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9" fontId="0" fillId="0" borderId="0" xfId="0" applyNumberFormat="1"/>
    <xf numFmtId="0" fontId="0" fillId="3" borderId="0" xfId="0" applyFill="1"/>
    <xf numFmtId="0" fontId="0" fillId="4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25"/>
  <sheetViews>
    <sheetView tabSelected="1"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5</v>
      </c>
      <c r="B1" t="s">
        <v>1</v>
      </c>
      <c r="E1" s="1">
        <v>41576.831307870372</v>
      </c>
      <c r="F1" s="1">
        <v>41607.831307870372</v>
      </c>
      <c r="G1" s="1">
        <v>41637</v>
      </c>
      <c r="H1" s="1">
        <v>41668</v>
      </c>
      <c r="I1" s="1">
        <v>41698</v>
      </c>
      <c r="J1" s="1">
        <v>41727</v>
      </c>
    </row>
    <row r="2" spans="1:10" x14ac:dyDescent="0.25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x14ac:dyDescent="0.25">
      <c r="A3" s="2" t="s">
        <v>0</v>
      </c>
      <c r="B3" s="2"/>
      <c r="C3" s="2"/>
      <c r="D3" s="2"/>
      <c r="E3" s="2"/>
      <c r="F3" s="2"/>
      <c r="G3" s="2"/>
      <c r="H3" s="2"/>
      <c r="I3" s="2"/>
      <c r="J3" s="2"/>
    </row>
    <row r="4" spans="1:10" x14ac:dyDescent="0.25">
      <c r="A4" s="7"/>
      <c r="B4" t="s">
        <v>19</v>
      </c>
      <c r="C4" s="6"/>
      <c r="D4" s="3">
        <v>1</v>
      </c>
      <c r="E4">
        <v>7</v>
      </c>
      <c r="F4">
        <v>7</v>
      </c>
      <c r="G4">
        <v>7</v>
      </c>
      <c r="H4">
        <v>7</v>
      </c>
      <c r="I4">
        <v>0</v>
      </c>
      <c r="J4">
        <v>0</v>
      </c>
    </row>
    <row r="5" spans="1:10" x14ac:dyDescent="0.25">
      <c r="A5" s="7"/>
      <c r="B5" t="s">
        <v>31</v>
      </c>
      <c r="C5" s="6"/>
      <c r="D5" s="3">
        <v>2</v>
      </c>
      <c r="E5">
        <v>0</v>
      </c>
      <c r="F5">
        <v>0</v>
      </c>
      <c r="G5">
        <v>0</v>
      </c>
      <c r="H5">
        <v>0</v>
      </c>
      <c r="I5">
        <v>7</v>
      </c>
      <c r="J5">
        <v>7</v>
      </c>
    </row>
    <row r="6" spans="1:10" x14ac:dyDescent="0.25">
      <c r="A6" s="7"/>
      <c r="B6" t="s">
        <v>20</v>
      </c>
      <c r="C6" s="6"/>
      <c r="D6" s="3">
        <v>1.0107259263963191</v>
      </c>
      <c r="E6">
        <v>7</v>
      </c>
      <c r="F6">
        <v>7</v>
      </c>
      <c r="G6">
        <v>7</v>
      </c>
      <c r="H6">
        <v>7</v>
      </c>
      <c r="I6">
        <v>7</v>
      </c>
      <c r="J6">
        <v>0</v>
      </c>
    </row>
    <row r="7" spans="1:10" x14ac:dyDescent="0.25">
      <c r="A7" s="7"/>
      <c r="B7" t="s">
        <v>21</v>
      </c>
      <c r="C7" s="6"/>
      <c r="D7" s="3">
        <v>1.0190058608213195</v>
      </c>
      <c r="E7">
        <v>7</v>
      </c>
      <c r="F7">
        <v>7</v>
      </c>
      <c r="G7">
        <v>7</v>
      </c>
      <c r="H7">
        <v>7</v>
      </c>
      <c r="I7">
        <v>7</v>
      </c>
      <c r="J7">
        <v>7</v>
      </c>
    </row>
    <row r="8" spans="1:10" x14ac:dyDescent="0.25">
      <c r="A8" s="7"/>
      <c r="B8" t="s">
        <v>22</v>
      </c>
      <c r="C8" s="6"/>
      <c r="D8" s="3">
        <v>1</v>
      </c>
      <c r="E8">
        <v>7</v>
      </c>
      <c r="F8">
        <v>7</v>
      </c>
      <c r="G8">
        <v>7</v>
      </c>
      <c r="H8">
        <v>7</v>
      </c>
      <c r="I8">
        <v>7</v>
      </c>
      <c r="J8">
        <v>7</v>
      </c>
    </row>
    <row r="9" spans="1:10" x14ac:dyDescent="0.25">
      <c r="A9" s="7"/>
      <c r="B9" t="s">
        <v>23</v>
      </c>
      <c r="C9" s="6"/>
      <c r="D9" s="3">
        <v>2</v>
      </c>
      <c r="E9">
        <v>7</v>
      </c>
      <c r="F9">
        <v>7</v>
      </c>
      <c r="G9">
        <v>7</v>
      </c>
      <c r="H9">
        <v>7</v>
      </c>
      <c r="I9">
        <v>7</v>
      </c>
      <c r="J9">
        <v>7</v>
      </c>
    </row>
    <row r="10" spans="1:10" x14ac:dyDescent="0.25">
      <c r="A10" s="7"/>
      <c r="B10" t="s">
        <v>32</v>
      </c>
      <c r="C10" s="6"/>
      <c r="D10" s="3">
        <v>2</v>
      </c>
      <c r="E10">
        <v>7</v>
      </c>
      <c r="F10">
        <v>7</v>
      </c>
      <c r="G10">
        <v>7</v>
      </c>
      <c r="H10">
        <v>7</v>
      </c>
      <c r="I10">
        <v>7</v>
      </c>
      <c r="J10">
        <v>7</v>
      </c>
    </row>
    <row r="11" spans="1:10" x14ac:dyDescent="0.25">
      <c r="A11" s="7"/>
      <c r="B11" t="s">
        <v>33</v>
      </c>
      <c r="C11" s="6"/>
      <c r="D11" s="3">
        <v>2</v>
      </c>
      <c r="E11">
        <v>0</v>
      </c>
      <c r="F11">
        <v>7</v>
      </c>
      <c r="G11">
        <v>7</v>
      </c>
      <c r="H11">
        <v>7</v>
      </c>
      <c r="I11">
        <v>7</v>
      </c>
      <c r="J11">
        <v>7</v>
      </c>
    </row>
    <row r="12" spans="1:10" x14ac:dyDescent="0.25">
      <c r="A12" s="7"/>
      <c r="B12" t="s">
        <v>34</v>
      </c>
      <c r="C12" s="6"/>
      <c r="D12" s="3">
        <v>2</v>
      </c>
      <c r="E12">
        <v>0</v>
      </c>
      <c r="F12">
        <v>0</v>
      </c>
      <c r="G12">
        <v>7</v>
      </c>
      <c r="H12">
        <v>7</v>
      </c>
      <c r="I12">
        <v>7</v>
      </c>
      <c r="J12">
        <v>7</v>
      </c>
    </row>
    <row r="13" spans="1:10" x14ac:dyDescent="0.25">
      <c r="A13" s="7"/>
      <c r="B13" t="s">
        <v>35</v>
      </c>
      <c r="C13" s="6"/>
      <c r="D13" s="3">
        <v>2</v>
      </c>
      <c r="E13">
        <v>0</v>
      </c>
      <c r="F13">
        <v>0</v>
      </c>
      <c r="G13">
        <v>0</v>
      </c>
      <c r="H13">
        <v>7</v>
      </c>
      <c r="I13">
        <v>7</v>
      </c>
      <c r="J13">
        <v>7</v>
      </c>
    </row>
    <row r="14" spans="1:10" x14ac:dyDescent="0.25">
      <c r="A14" s="7"/>
      <c r="B14" t="s">
        <v>24</v>
      </c>
      <c r="C14" s="6"/>
      <c r="D14" s="3">
        <v>1.0661501684172388</v>
      </c>
      <c r="E14">
        <v>10</v>
      </c>
      <c r="F14">
        <v>10</v>
      </c>
      <c r="G14">
        <v>10</v>
      </c>
      <c r="H14">
        <v>10</v>
      </c>
      <c r="I14">
        <v>10</v>
      </c>
      <c r="J14">
        <v>0</v>
      </c>
    </row>
    <row r="15" spans="1:10" x14ac:dyDescent="0.25">
      <c r="A15" s="7"/>
      <c r="B15" t="s">
        <v>25</v>
      </c>
      <c r="C15" s="6"/>
      <c r="D15" s="3">
        <v>1</v>
      </c>
      <c r="E15">
        <v>10</v>
      </c>
      <c r="F15">
        <v>10</v>
      </c>
      <c r="G15">
        <v>10</v>
      </c>
      <c r="H15">
        <v>10</v>
      </c>
      <c r="I15">
        <v>10</v>
      </c>
      <c r="J15">
        <v>10</v>
      </c>
    </row>
    <row r="16" spans="1:10" x14ac:dyDescent="0.25">
      <c r="A16" s="7"/>
      <c r="B16" t="s">
        <v>26</v>
      </c>
      <c r="C16" s="6"/>
      <c r="D16" s="3">
        <v>1</v>
      </c>
      <c r="E16">
        <v>10</v>
      </c>
      <c r="F16">
        <v>10</v>
      </c>
      <c r="G16">
        <v>10</v>
      </c>
      <c r="H16">
        <v>10</v>
      </c>
      <c r="I16">
        <v>10</v>
      </c>
      <c r="J16">
        <v>10</v>
      </c>
    </row>
    <row r="17" spans="1:10" x14ac:dyDescent="0.25">
      <c r="A17" s="7"/>
      <c r="B17" t="s">
        <v>27</v>
      </c>
      <c r="C17" s="6"/>
      <c r="D17" s="3">
        <v>1</v>
      </c>
      <c r="E17">
        <v>10</v>
      </c>
      <c r="F17">
        <v>10</v>
      </c>
      <c r="G17">
        <v>10</v>
      </c>
      <c r="H17">
        <v>10</v>
      </c>
      <c r="I17">
        <v>10</v>
      </c>
      <c r="J17">
        <v>10</v>
      </c>
    </row>
    <row r="18" spans="1:10" x14ac:dyDescent="0.25">
      <c r="A18" s="7"/>
      <c r="B18" t="s">
        <v>14</v>
      </c>
      <c r="C18" s="6"/>
      <c r="D18" s="3">
        <v>1</v>
      </c>
      <c r="E18">
        <v>15</v>
      </c>
      <c r="F18">
        <v>15</v>
      </c>
      <c r="G18">
        <v>15</v>
      </c>
      <c r="H18">
        <v>15</v>
      </c>
      <c r="I18">
        <v>15</v>
      </c>
      <c r="J18">
        <v>15</v>
      </c>
    </row>
    <row r="19" spans="1:10" x14ac:dyDescent="0.25">
      <c r="A19" s="7"/>
      <c r="B19" t="s">
        <v>15</v>
      </c>
      <c r="C19" s="6"/>
      <c r="D19" s="3">
        <v>1.0119976357043803</v>
      </c>
      <c r="E19">
        <v>15</v>
      </c>
      <c r="F19">
        <v>15</v>
      </c>
      <c r="G19">
        <v>15</v>
      </c>
      <c r="H19">
        <v>15</v>
      </c>
      <c r="I19">
        <v>15</v>
      </c>
      <c r="J19">
        <v>15</v>
      </c>
    </row>
    <row r="20" spans="1:10" x14ac:dyDescent="0.25">
      <c r="A20" s="7"/>
      <c r="B20" t="s">
        <v>16</v>
      </c>
      <c r="C20" s="6"/>
      <c r="D20" s="3">
        <v>2</v>
      </c>
      <c r="E20">
        <v>15</v>
      </c>
      <c r="F20">
        <v>15</v>
      </c>
      <c r="G20">
        <v>15</v>
      </c>
      <c r="H20">
        <v>15</v>
      </c>
      <c r="I20">
        <v>15</v>
      </c>
      <c r="J20">
        <v>15</v>
      </c>
    </row>
    <row r="21" spans="1:10" x14ac:dyDescent="0.25">
      <c r="A21" s="7"/>
      <c r="B21" t="s">
        <v>17</v>
      </c>
      <c r="C21" s="6"/>
      <c r="D21" s="3">
        <v>2</v>
      </c>
      <c r="E21">
        <v>15</v>
      </c>
      <c r="F21">
        <v>15</v>
      </c>
      <c r="G21">
        <v>15</v>
      </c>
      <c r="H21">
        <v>15</v>
      </c>
      <c r="I21">
        <v>15</v>
      </c>
      <c r="J21">
        <v>15</v>
      </c>
    </row>
    <row r="22" spans="1:10" x14ac:dyDescent="0.25">
      <c r="A22" s="7"/>
      <c r="B22" t="s">
        <v>18</v>
      </c>
      <c r="C22" s="6"/>
      <c r="D22" s="3">
        <v>2</v>
      </c>
      <c r="E22">
        <v>15</v>
      </c>
      <c r="F22">
        <v>15</v>
      </c>
      <c r="G22">
        <v>15</v>
      </c>
      <c r="H22">
        <v>15</v>
      </c>
      <c r="I22">
        <v>15</v>
      </c>
      <c r="J22">
        <v>15</v>
      </c>
    </row>
    <row r="23" spans="1:10" x14ac:dyDescent="0.25">
      <c r="A23" s="7"/>
      <c r="B23" t="s">
        <v>28</v>
      </c>
      <c r="C23" s="6"/>
      <c r="D23" s="3">
        <v>2</v>
      </c>
      <c r="E23">
        <v>15</v>
      </c>
      <c r="F23">
        <v>15</v>
      </c>
      <c r="G23">
        <v>15</v>
      </c>
      <c r="H23">
        <v>15</v>
      </c>
      <c r="I23">
        <v>15</v>
      </c>
      <c r="J23">
        <v>15</v>
      </c>
    </row>
    <row r="24" spans="1:10" x14ac:dyDescent="0.25">
      <c r="A24" s="2" t="s">
        <v>3</v>
      </c>
      <c r="B24" s="2"/>
      <c r="C24" s="2"/>
      <c r="D24" s="2"/>
      <c r="E24" s="2">
        <f t="shared" ref="E24:J24" si="0">SUM(E4:E23)</f>
        <v>172</v>
      </c>
      <c r="F24" s="2">
        <f t="shared" si="0"/>
        <v>179</v>
      </c>
      <c r="G24" s="2">
        <f t="shared" si="0"/>
        <v>186</v>
      </c>
      <c r="H24" s="2">
        <f t="shared" si="0"/>
        <v>193</v>
      </c>
      <c r="I24" s="2">
        <f t="shared" si="0"/>
        <v>193</v>
      </c>
      <c r="J24" s="2">
        <f t="shared" si="0"/>
        <v>176</v>
      </c>
    </row>
    <row r="25" spans="1:10" x14ac:dyDescent="0.25">
      <c r="A25" s="2" t="s">
        <v>2</v>
      </c>
      <c r="B25" s="2"/>
      <c r="C25" s="2"/>
      <c r="D25" s="2"/>
      <c r="E25" s="2">
        <v>110</v>
      </c>
      <c r="F25" s="2">
        <v>120</v>
      </c>
      <c r="G25" s="2">
        <v>70</v>
      </c>
      <c r="H25" s="2">
        <v>120</v>
      </c>
      <c r="I25" s="2">
        <v>120</v>
      </c>
      <c r="J25" s="2">
        <v>110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14"/>
  <sheetViews>
    <sheetView workbookViewId="0">
      <selection activeCell="L10" sqref="L10:AB10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4">
        <v>41183</v>
      </c>
      <c r="C1" s="4">
        <v>41214</v>
      </c>
      <c r="D1" s="4">
        <v>41244</v>
      </c>
      <c r="E1" s="4">
        <v>41275</v>
      </c>
      <c r="F1" s="4">
        <v>41306</v>
      </c>
      <c r="G1" s="4">
        <v>41334</v>
      </c>
      <c r="H1" s="4">
        <v>41365</v>
      </c>
      <c r="I1" s="4">
        <v>41395</v>
      </c>
      <c r="J1" s="4">
        <v>41426</v>
      </c>
      <c r="K1" s="4">
        <v>41456</v>
      </c>
      <c r="L1" s="4">
        <v>41487</v>
      </c>
      <c r="M1" s="4">
        <v>41518</v>
      </c>
      <c r="N1" s="4">
        <v>41548</v>
      </c>
      <c r="O1" s="4">
        <v>41579</v>
      </c>
      <c r="P1" s="4">
        <v>41609</v>
      </c>
      <c r="Q1" s="4">
        <v>41640</v>
      </c>
      <c r="R1" s="4">
        <v>41671</v>
      </c>
      <c r="S1" s="4">
        <v>41699</v>
      </c>
      <c r="T1" s="4">
        <v>41730</v>
      </c>
      <c r="U1" s="4">
        <v>41760</v>
      </c>
      <c r="V1" s="4">
        <v>41791</v>
      </c>
      <c r="W1" s="4">
        <v>41821</v>
      </c>
      <c r="X1" s="4">
        <v>41852</v>
      </c>
      <c r="Y1" s="4">
        <v>41883</v>
      </c>
      <c r="Z1" s="4">
        <v>41913</v>
      </c>
      <c r="AA1" s="4">
        <v>41944</v>
      </c>
      <c r="AB1" s="4">
        <v>41974</v>
      </c>
      <c r="AC1" s="4">
        <v>42005</v>
      </c>
      <c r="AD1" s="4">
        <v>42036</v>
      </c>
      <c r="AE1" s="4">
        <v>42064</v>
      </c>
      <c r="AF1" s="4">
        <v>42095</v>
      </c>
      <c r="AG1" s="4">
        <v>42125</v>
      </c>
      <c r="AH1" s="4">
        <v>42156</v>
      </c>
      <c r="AI1" s="4">
        <v>42186</v>
      </c>
      <c r="AJ1" s="4">
        <v>42217</v>
      </c>
      <c r="AK1" s="4">
        <v>42248</v>
      </c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</row>
    <row r="2" spans="1:79" x14ac:dyDescent="0.25">
      <c r="A2" t="s">
        <v>6</v>
      </c>
      <c r="K2">
        <v>17</v>
      </c>
      <c r="L2">
        <v>5</v>
      </c>
      <c r="M2">
        <v>17</v>
      </c>
      <c r="N2">
        <v>17</v>
      </c>
      <c r="O2">
        <v>17</v>
      </c>
      <c r="P2">
        <v>12</v>
      </c>
      <c r="Q2">
        <v>17</v>
      </c>
      <c r="R2">
        <v>17</v>
      </c>
      <c r="S2">
        <v>15</v>
      </c>
      <c r="T2">
        <v>15</v>
      </c>
      <c r="U2">
        <v>15</v>
      </c>
      <c r="V2">
        <v>15</v>
      </c>
      <c r="W2">
        <v>15</v>
      </c>
      <c r="X2">
        <v>15</v>
      </c>
      <c r="Y2">
        <v>15</v>
      </c>
      <c r="Z2">
        <v>15</v>
      </c>
      <c r="AA2">
        <v>15</v>
      </c>
      <c r="AB2">
        <v>15</v>
      </c>
    </row>
    <row r="3" spans="1:79" x14ac:dyDescent="0.25">
      <c r="A3" t="s">
        <v>7</v>
      </c>
      <c r="K3">
        <v>2</v>
      </c>
      <c r="L3">
        <v>17</v>
      </c>
      <c r="M3">
        <v>17</v>
      </c>
      <c r="N3">
        <v>17</v>
      </c>
      <c r="O3">
        <v>17</v>
      </c>
      <c r="P3">
        <v>12</v>
      </c>
      <c r="Q3">
        <v>17</v>
      </c>
      <c r="R3">
        <v>17</v>
      </c>
      <c r="S3">
        <v>17</v>
      </c>
      <c r="T3">
        <v>17</v>
      </c>
      <c r="U3">
        <v>17</v>
      </c>
      <c r="V3">
        <v>17</v>
      </c>
      <c r="W3">
        <v>17</v>
      </c>
      <c r="X3">
        <v>17</v>
      </c>
      <c r="Y3">
        <v>17</v>
      </c>
      <c r="Z3">
        <v>17</v>
      </c>
      <c r="AA3">
        <v>17</v>
      </c>
      <c r="AB3">
        <v>17</v>
      </c>
    </row>
    <row r="4" spans="1:79" x14ac:dyDescent="0.25">
      <c r="A4" t="s">
        <v>8</v>
      </c>
      <c r="K4">
        <v>17</v>
      </c>
      <c r="L4">
        <v>17</v>
      </c>
      <c r="M4">
        <v>5</v>
      </c>
      <c r="N4">
        <v>17</v>
      </c>
      <c r="O4">
        <v>17</v>
      </c>
      <c r="P4">
        <v>10</v>
      </c>
      <c r="Q4">
        <v>17</v>
      </c>
      <c r="R4">
        <v>17</v>
      </c>
      <c r="S4">
        <v>17</v>
      </c>
      <c r="T4">
        <v>17</v>
      </c>
      <c r="U4">
        <v>17</v>
      </c>
      <c r="V4">
        <v>17</v>
      </c>
      <c r="W4">
        <v>17</v>
      </c>
      <c r="X4">
        <v>17</v>
      </c>
      <c r="Y4">
        <v>17</v>
      </c>
      <c r="Z4">
        <v>17</v>
      </c>
      <c r="AA4">
        <v>17</v>
      </c>
      <c r="AB4">
        <v>17</v>
      </c>
    </row>
    <row r="5" spans="1:79" x14ac:dyDescent="0.25">
      <c r="A5" t="s">
        <v>9</v>
      </c>
      <c r="K5">
        <v>10</v>
      </c>
      <c r="L5">
        <v>10</v>
      </c>
      <c r="M5">
        <v>10</v>
      </c>
      <c r="N5">
        <v>9</v>
      </c>
      <c r="O5">
        <v>10</v>
      </c>
      <c r="P5">
        <v>5</v>
      </c>
      <c r="Q5">
        <v>10</v>
      </c>
      <c r="R5">
        <v>10</v>
      </c>
      <c r="S5">
        <v>10</v>
      </c>
      <c r="T5">
        <v>10</v>
      </c>
      <c r="U5">
        <v>10</v>
      </c>
      <c r="V5">
        <v>10</v>
      </c>
      <c r="W5">
        <v>10</v>
      </c>
      <c r="X5">
        <v>10</v>
      </c>
      <c r="Y5">
        <v>10</v>
      </c>
      <c r="Z5">
        <v>10</v>
      </c>
      <c r="AA5">
        <v>10</v>
      </c>
      <c r="AB5">
        <v>10</v>
      </c>
    </row>
    <row r="6" spans="1:79" x14ac:dyDescent="0.25">
      <c r="A6" t="s">
        <v>10</v>
      </c>
      <c r="K6">
        <v>17</v>
      </c>
      <c r="L6">
        <v>0</v>
      </c>
      <c r="M6">
        <v>17</v>
      </c>
      <c r="N6">
        <v>17</v>
      </c>
      <c r="O6">
        <v>17</v>
      </c>
      <c r="P6">
        <v>12</v>
      </c>
      <c r="Q6">
        <v>17</v>
      </c>
      <c r="R6">
        <v>17</v>
      </c>
      <c r="S6">
        <v>17</v>
      </c>
      <c r="T6">
        <v>17</v>
      </c>
      <c r="U6">
        <v>17</v>
      </c>
      <c r="V6">
        <v>17</v>
      </c>
      <c r="W6">
        <v>17</v>
      </c>
      <c r="X6">
        <v>17</v>
      </c>
      <c r="Y6">
        <v>17</v>
      </c>
      <c r="Z6">
        <v>17</v>
      </c>
      <c r="AA6">
        <v>17</v>
      </c>
      <c r="AB6">
        <v>17</v>
      </c>
    </row>
    <row r="7" spans="1:79" x14ac:dyDescent="0.25">
      <c r="A7" t="s">
        <v>29</v>
      </c>
      <c r="K7">
        <v>17</v>
      </c>
      <c r="L7">
        <v>17</v>
      </c>
      <c r="M7">
        <v>17</v>
      </c>
      <c r="N7">
        <v>17</v>
      </c>
      <c r="O7">
        <v>17</v>
      </c>
      <c r="P7">
        <v>10</v>
      </c>
      <c r="Q7">
        <v>17</v>
      </c>
      <c r="R7">
        <v>17</v>
      </c>
      <c r="S7">
        <v>17</v>
      </c>
      <c r="T7">
        <v>17</v>
      </c>
      <c r="U7">
        <v>17</v>
      </c>
      <c r="V7">
        <v>17</v>
      </c>
      <c r="W7">
        <v>17</v>
      </c>
      <c r="X7">
        <v>17</v>
      </c>
      <c r="Y7">
        <v>17</v>
      </c>
      <c r="Z7">
        <v>17</v>
      </c>
      <c r="AA7">
        <v>17</v>
      </c>
      <c r="AB7">
        <v>17</v>
      </c>
    </row>
    <row r="8" spans="1:79" x14ac:dyDescent="0.25">
      <c r="A8" t="s">
        <v>30</v>
      </c>
      <c r="K8">
        <v>10</v>
      </c>
      <c r="L8">
        <v>10</v>
      </c>
      <c r="M8">
        <v>10</v>
      </c>
      <c r="N8">
        <v>10</v>
      </c>
      <c r="O8">
        <v>10</v>
      </c>
      <c r="P8">
        <v>5</v>
      </c>
      <c r="Q8">
        <v>10</v>
      </c>
      <c r="R8">
        <v>10</v>
      </c>
      <c r="S8">
        <v>10</v>
      </c>
      <c r="T8">
        <v>10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</row>
    <row r="9" spans="1:79" x14ac:dyDescent="0.25">
      <c r="A9" t="s">
        <v>11</v>
      </c>
      <c r="K9">
        <v>4</v>
      </c>
      <c r="L9">
        <v>10</v>
      </c>
      <c r="M9">
        <v>10</v>
      </c>
      <c r="N9">
        <v>10</v>
      </c>
      <c r="O9">
        <v>10</v>
      </c>
      <c r="P9">
        <v>5</v>
      </c>
      <c r="Q9">
        <v>10</v>
      </c>
      <c r="R9">
        <v>10</v>
      </c>
      <c r="S9">
        <v>10</v>
      </c>
      <c r="T9">
        <v>10</v>
      </c>
      <c r="U9">
        <v>10</v>
      </c>
      <c r="V9">
        <v>10</v>
      </c>
      <c r="W9">
        <v>10</v>
      </c>
      <c r="X9">
        <v>10</v>
      </c>
      <c r="Y9">
        <v>10</v>
      </c>
      <c r="Z9">
        <v>10</v>
      </c>
      <c r="AA9">
        <v>10</v>
      </c>
      <c r="AB9">
        <v>10</v>
      </c>
    </row>
    <row r="10" spans="1:79" x14ac:dyDescent="0.25">
      <c r="A10" t="s">
        <v>4</v>
      </c>
      <c r="B10">
        <f>ROUND(SUM(B2:B9)*(1-$B$13),-1)</f>
        <v>0</v>
      </c>
      <c r="C10">
        <f t="shared" ref="C10:K10" si="0">ROUND(SUM(C2:C9)*(1-$B$13),-1)</f>
        <v>0</v>
      </c>
      <c r="D10">
        <f t="shared" si="0"/>
        <v>0</v>
      </c>
      <c r="E10">
        <f t="shared" si="0"/>
        <v>0</v>
      </c>
      <c r="F10">
        <f t="shared" si="0"/>
        <v>0</v>
      </c>
      <c r="G10">
        <f t="shared" si="0"/>
        <v>0</v>
      </c>
      <c r="H10">
        <f t="shared" si="0"/>
        <v>0</v>
      </c>
      <c r="I10">
        <f t="shared" si="0"/>
        <v>0</v>
      </c>
      <c r="J10">
        <f t="shared" si="0"/>
        <v>0</v>
      </c>
      <c r="K10">
        <f t="shared" si="0"/>
        <v>90</v>
      </c>
      <c r="L10">
        <f>ROUND(SUM(L2:L9)*(1-$B$13),-1)</f>
        <v>90</v>
      </c>
      <c r="M10">
        <f>ROUND(SUM(M2:M9)*(1-$B$13),-1)</f>
        <v>100</v>
      </c>
      <c r="N10">
        <f t="shared" ref="N10" si="1">ROUND(SUM(N2:N9)*(1-$B$13),-1)</f>
        <v>110</v>
      </c>
      <c r="O10">
        <f t="shared" ref="O10" si="2">ROUND(SUM(O2:O9)*(1-$B$13),-1)</f>
        <v>120</v>
      </c>
      <c r="P10">
        <f t="shared" ref="P10" si="3">ROUND(SUM(P2:P9)*(1-$B$13),-1)</f>
        <v>70</v>
      </c>
      <c r="Q10">
        <f t="shared" ref="Q10" si="4">ROUND(SUM(Q2:Q9)*(1-$B$13),-1)</f>
        <v>120</v>
      </c>
      <c r="R10">
        <f t="shared" ref="R10" si="5">ROUND(SUM(R2:R9)*(1-$B$13),-1)</f>
        <v>120</v>
      </c>
      <c r="S10">
        <f t="shared" ref="S10" si="6">ROUND(SUM(S2:S9)*(1-$B$13),-1)</f>
        <v>110</v>
      </c>
      <c r="T10">
        <f>ROUND(SUM(T2:T9)*(1-$B$13),-1)</f>
        <v>110</v>
      </c>
      <c r="U10">
        <f t="shared" ref="U10" si="7">ROUND(SUM(U2:U9)*(1-$B$13),-1)</f>
        <v>110</v>
      </c>
      <c r="V10">
        <f t="shared" ref="V10" si="8">ROUND(SUM(V2:V9)*(1-$B$13),-1)</f>
        <v>110</v>
      </c>
      <c r="W10">
        <f t="shared" ref="W10" si="9">ROUND(SUM(W2:W9)*(1-$B$13),-1)</f>
        <v>110</v>
      </c>
      <c r="X10">
        <f t="shared" ref="X10" si="10">ROUND(SUM(X2:X9)*(1-$B$13),-1)</f>
        <v>110</v>
      </c>
      <c r="Y10">
        <f t="shared" ref="Y10" si="11">ROUND(SUM(Y2:Y9)*(1-$B$13),-1)</f>
        <v>110</v>
      </c>
      <c r="Z10">
        <f t="shared" ref="Z10" si="12">ROUND(SUM(Z2:Z9)*(1-$B$13),-1)</f>
        <v>110</v>
      </c>
      <c r="AA10">
        <f t="shared" ref="AA10" si="13">ROUND(SUM(AA2:AA9)*(1-$B$13),-1)</f>
        <v>110</v>
      </c>
      <c r="AB10">
        <f t="shared" ref="AB10" si="14">ROUND(SUM(AB2:AB9)*(1-$B$13),-1)</f>
        <v>110</v>
      </c>
      <c r="AC10">
        <f t="shared" ref="AC10" si="15">ROUND(SUM(AC2:AC9)*(1-$B$13),-1)</f>
        <v>0</v>
      </c>
      <c r="AD10">
        <f>ROUND(SUM(AD2:AD9)*(1-$B$13),-1)</f>
        <v>0</v>
      </c>
      <c r="AE10">
        <f>ROUND(SUM(AE2:AE9)*(1-$B$13),-1)</f>
        <v>0</v>
      </c>
      <c r="AF10">
        <f t="shared" ref="AF10" si="16">ROUND(SUM(AF2:AF9)*(1-$B$13),-1)</f>
        <v>0</v>
      </c>
      <c r="AG10">
        <f t="shared" ref="AG10" si="17">ROUND(SUM(AG2:AG9)*(1-$B$13),-1)</f>
        <v>0</v>
      </c>
      <c r="AH10">
        <f t="shared" ref="AH10" si="18">ROUND(SUM(AH2:AH9)*(1-$B$13),-1)</f>
        <v>0</v>
      </c>
      <c r="AI10">
        <f t="shared" ref="AI10" si="19">ROUND(SUM(AI2:AI9)*(1-$B$13),-1)</f>
        <v>0</v>
      </c>
      <c r="AJ10">
        <f t="shared" ref="AJ10" si="20">ROUND(SUM(AJ2:AJ9)*(1-$B$13),-1)</f>
        <v>0</v>
      </c>
      <c r="AK10">
        <f t="shared" ref="AK10" si="21">ROUND(SUM(AK2:AK9)*(1-$B$13),-1)</f>
        <v>0</v>
      </c>
    </row>
    <row r="13" spans="1:79" x14ac:dyDescent="0.25">
      <c r="A13" t="s">
        <v>12</v>
      </c>
      <c r="B13" s="5">
        <v>0</v>
      </c>
    </row>
    <row r="14" spans="1:79" x14ac:dyDescent="0.25">
      <c r="A14" t="s">
        <v>13</v>
      </c>
      <c r="B14">
        <f>ROUND(SUM(K10:S10)/9,-1)</f>
        <v>100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2013-09-29T18:01:38Z</dcterms:modified>
</cp:coreProperties>
</file>