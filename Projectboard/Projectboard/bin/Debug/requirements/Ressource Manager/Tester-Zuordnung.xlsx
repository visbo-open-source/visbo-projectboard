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70" windowWidth="15600" windowHeight="11640"/>
  </bookViews>
  <sheets>
    <sheet name="Summary" sheetId="1" r:id="rId1"/>
    <sheet name="Kapazität" sheetId="3" r:id="rId2"/>
  </sheets>
  <definedNames>
    <definedName name="Personenliste">Kapazität!$A$2:$A$8</definedName>
  </definedNames>
  <calcPr calcId="145621"/>
</workbook>
</file>

<file path=xl/calcChain.xml><?xml version="1.0" encoding="utf-8"?>
<calcChain xmlns="http://schemas.openxmlformats.org/spreadsheetml/2006/main">
  <c r="J19" i="1" l="1"/>
  <c r="I19" i="1"/>
  <c r="H19" i="1"/>
  <c r="G19" i="1"/>
  <c r="F19" i="1"/>
  <c r="E19" i="1"/>
  <c r="M8" i="3" l="1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L8" i="3"/>
  <c r="C8" i="3" l="1"/>
  <c r="D8" i="3"/>
  <c r="E8" i="3"/>
  <c r="F8" i="3"/>
  <c r="G8" i="3"/>
  <c r="H8" i="3"/>
  <c r="I8" i="3"/>
  <c r="J8" i="3"/>
  <c r="K8" i="3"/>
  <c r="AC8" i="3"/>
  <c r="AD8" i="3"/>
  <c r="AE8" i="3"/>
  <c r="AF8" i="3"/>
  <c r="AG8" i="3"/>
  <c r="AH8" i="3"/>
  <c r="AI8" i="3"/>
  <c r="AJ8" i="3"/>
  <c r="AK8" i="3"/>
  <c r="B8" i="3"/>
  <c r="B10" i="3" l="1"/>
</calcChain>
</file>

<file path=xl/sharedStrings.xml><?xml version="1.0" encoding="utf-8"?>
<sst xmlns="http://schemas.openxmlformats.org/spreadsheetml/2006/main" count="29" uniqueCount="29">
  <si>
    <t>Projekt</t>
  </si>
  <si>
    <t>Kapazität</t>
  </si>
  <si>
    <t>Summe</t>
  </si>
  <si>
    <t>Innovation 1</t>
  </si>
  <si>
    <t>Summe intern</t>
  </si>
  <si>
    <t>Durchschnitt</t>
  </si>
  <si>
    <t>Sicherheit</t>
  </si>
  <si>
    <t>Tom</t>
  </si>
  <si>
    <t>Teresa</t>
  </si>
  <si>
    <t>Traute</t>
  </si>
  <si>
    <t>Tina</t>
  </si>
  <si>
    <t>Theodor</t>
  </si>
  <si>
    <t>Torsten</t>
  </si>
  <si>
    <t xml:space="preserve"> </t>
  </si>
  <si>
    <t>Tester</t>
  </si>
  <si>
    <t>Einführung 1</t>
  </si>
  <si>
    <t>Einführung 2</t>
  </si>
  <si>
    <t>Einführung 3</t>
  </si>
  <si>
    <t>Einführung 4</t>
  </si>
  <si>
    <t>Einführung 5</t>
  </si>
  <si>
    <t>Entwicklung 1</t>
  </si>
  <si>
    <t>Entwicklung 2</t>
  </si>
  <si>
    <t>Entwicklung 3</t>
  </si>
  <si>
    <t>Entwicklung 4</t>
  </si>
  <si>
    <t>Innovation 2</t>
  </si>
  <si>
    <t>Entwicklung 5</t>
  </si>
  <si>
    <t>Einführung 6</t>
  </si>
  <si>
    <t>Einführung 7</t>
  </si>
  <si>
    <t>Einführung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</si>
</sst>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7693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 applyAlignment="1">
      <alignment horizontal="center" vertical="center"/>
    </xf>
    <xf numFmtId="0" fontId="0" fillId="2" borderId="0" xfId="0" applyFill="1"/>
    <xf numFmtId="2" fontId="0" fillId="0" borderId="0" xfId="0" applyNumberFormat="1"/>
    <xf numFmtId="164" fontId="0" fillId="0" borderId="0" xfId="0" applyNumberFormat="1" applyAlignment="1">
      <alignment textRotation="90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20"/>
  <sheetViews>
    <sheetView tabSelected="1"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13</v>
      </c>
      <c r="B1" t="s">
        <v>0</v>
      </c>
      <c r="E1" s="1">
        <v>41576.831458333334</v>
      </c>
      <c r="F1" s="1">
        <v>41607.831458333334</v>
      </c>
      <c r="G1" s="1">
        <v>41637</v>
      </c>
      <c r="H1" s="1">
        <v>41668</v>
      </c>
      <c r="I1" s="1">
        <v>41698</v>
      </c>
      <c r="J1" s="1">
        <v>41727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14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7"/>
      <c r="B4" t="s">
        <v>15</v>
      </c>
      <c r="C4" s="5"/>
      <c r="D4" s="3">
        <v>1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7"/>
      <c r="B5" t="s">
        <v>16</v>
      </c>
      <c r="C5" s="5"/>
      <c r="D5" s="3">
        <v>1.0107259263963191</v>
      </c>
      <c r="E5">
        <v>10</v>
      </c>
      <c r="F5">
        <v>5</v>
      </c>
      <c r="G5">
        <v>0</v>
      </c>
      <c r="H5">
        <v>0</v>
      </c>
      <c r="I5">
        <v>0</v>
      </c>
      <c r="J5">
        <v>0</v>
      </c>
    </row>
    <row r="6" spans="1:10" x14ac:dyDescent="0.25">
      <c r="A6" s="7"/>
      <c r="B6" t="s">
        <v>17</v>
      </c>
      <c r="C6" s="5"/>
      <c r="D6" s="3">
        <v>1.0190058608213195</v>
      </c>
      <c r="E6">
        <v>5</v>
      </c>
      <c r="F6">
        <v>10</v>
      </c>
      <c r="G6">
        <v>5</v>
      </c>
      <c r="H6">
        <v>0</v>
      </c>
      <c r="I6">
        <v>0</v>
      </c>
      <c r="J6">
        <v>0</v>
      </c>
    </row>
    <row r="7" spans="1:10" x14ac:dyDescent="0.25">
      <c r="A7" s="7"/>
      <c r="B7" t="s">
        <v>18</v>
      </c>
      <c r="C7" s="5"/>
      <c r="D7" s="3">
        <v>1</v>
      </c>
      <c r="E7">
        <v>0</v>
      </c>
      <c r="F7">
        <v>5</v>
      </c>
      <c r="G7">
        <v>10</v>
      </c>
      <c r="H7">
        <v>5</v>
      </c>
      <c r="I7">
        <v>0</v>
      </c>
      <c r="J7">
        <v>0</v>
      </c>
    </row>
    <row r="8" spans="1:10" x14ac:dyDescent="0.25">
      <c r="A8" s="7"/>
      <c r="B8" t="s">
        <v>19</v>
      </c>
      <c r="C8" s="5"/>
      <c r="D8" s="3">
        <v>2</v>
      </c>
      <c r="E8">
        <v>0</v>
      </c>
      <c r="F8">
        <v>0</v>
      </c>
      <c r="G8">
        <v>5</v>
      </c>
      <c r="H8">
        <v>10</v>
      </c>
      <c r="I8">
        <v>5</v>
      </c>
      <c r="J8">
        <v>0</v>
      </c>
    </row>
    <row r="9" spans="1:10" x14ac:dyDescent="0.25">
      <c r="A9" s="7"/>
      <c r="B9" t="s">
        <v>26</v>
      </c>
      <c r="C9" s="5"/>
      <c r="D9" s="3">
        <v>2</v>
      </c>
      <c r="E9">
        <v>0</v>
      </c>
      <c r="F9">
        <v>0</v>
      </c>
      <c r="G9">
        <v>0</v>
      </c>
      <c r="H9">
        <v>5</v>
      </c>
      <c r="I9">
        <v>10</v>
      </c>
      <c r="J9">
        <v>5</v>
      </c>
    </row>
    <row r="10" spans="1:10" x14ac:dyDescent="0.25">
      <c r="A10" s="7"/>
      <c r="B10" t="s">
        <v>27</v>
      </c>
      <c r="C10" s="5"/>
      <c r="D10" s="3">
        <v>2</v>
      </c>
      <c r="E10">
        <v>0</v>
      </c>
      <c r="F10">
        <v>0</v>
      </c>
      <c r="G10">
        <v>0</v>
      </c>
      <c r="H10">
        <v>0</v>
      </c>
      <c r="I10">
        <v>5</v>
      </c>
      <c r="J10">
        <v>10</v>
      </c>
    </row>
    <row r="11" spans="1:10" x14ac:dyDescent="0.25">
      <c r="A11" s="7"/>
      <c r="B11" t="s">
        <v>28</v>
      </c>
      <c r="C11" s="5"/>
      <c r="D11" s="3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</row>
    <row r="12" spans="1:10" x14ac:dyDescent="0.25">
      <c r="A12" s="7"/>
      <c r="B12" t="s">
        <v>20</v>
      </c>
      <c r="C12" s="5"/>
      <c r="D12" s="3">
        <v>1.0661501684172388</v>
      </c>
      <c r="E12">
        <v>0</v>
      </c>
      <c r="F12">
        <v>15</v>
      </c>
      <c r="G12">
        <v>15</v>
      </c>
      <c r="H12">
        <v>0</v>
      </c>
      <c r="I12">
        <v>0</v>
      </c>
      <c r="J12">
        <v>0</v>
      </c>
    </row>
    <row r="13" spans="1:10" x14ac:dyDescent="0.25">
      <c r="A13" s="7"/>
      <c r="B13" t="s">
        <v>21</v>
      </c>
      <c r="C13" s="5"/>
      <c r="D13" s="3">
        <v>1</v>
      </c>
      <c r="E13">
        <v>0</v>
      </c>
      <c r="F13">
        <v>0</v>
      </c>
      <c r="G13">
        <v>15</v>
      </c>
      <c r="H13">
        <v>15</v>
      </c>
      <c r="I13">
        <v>0</v>
      </c>
      <c r="J13">
        <v>0</v>
      </c>
    </row>
    <row r="14" spans="1:10" x14ac:dyDescent="0.25">
      <c r="A14" s="7"/>
      <c r="B14" t="s">
        <v>22</v>
      </c>
      <c r="C14" s="5"/>
      <c r="D14" s="3">
        <v>1</v>
      </c>
      <c r="E14">
        <v>0</v>
      </c>
      <c r="F14">
        <v>0</v>
      </c>
      <c r="G14">
        <v>0</v>
      </c>
      <c r="H14">
        <v>15</v>
      </c>
      <c r="I14">
        <v>15</v>
      </c>
      <c r="J14">
        <v>0</v>
      </c>
    </row>
    <row r="15" spans="1:10" x14ac:dyDescent="0.25">
      <c r="A15" s="7"/>
      <c r="B15" t="s">
        <v>23</v>
      </c>
      <c r="C15" s="5"/>
      <c r="D15" s="3">
        <v>1</v>
      </c>
      <c r="E15">
        <v>0</v>
      </c>
      <c r="F15">
        <v>0</v>
      </c>
      <c r="G15">
        <v>0</v>
      </c>
      <c r="H15">
        <v>0</v>
      </c>
      <c r="I15">
        <v>15</v>
      </c>
      <c r="J15">
        <v>15</v>
      </c>
    </row>
    <row r="16" spans="1:10" x14ac:dyDescent="0.25">
      <c r="A16" s="7"/>
      <c r="B16" t="s">
        <v>25</v>
      </c>
      <c r="C16" s="6"/>
      <c r="D16" s="3">
        <v>0.85134344829649289</v>
      </c>
      <c r="E16">
        <v>0</v>
      </c>
      <c r="F16">
        <v>0</v>
      </c>
      <c r="G16">
        <v>15</v>
      </c>
      <c r="H16">
        <v>15</v>
      </c>
      <c r="I16">
        <v>0</v>
      </c>
      <c r="J16">
        <v>0</v>
      </c>
    </row>
    <row r="17" spans="1:10" x14ac:dyDescent="0.25">
      <c r="A17" s="7"/>
      <c r="B17" t="s">
        <v>3</v>
      </c>
      <c r="C17" s="5"/>
      <c r="D17" s="3">
        <v>1</v>
      </c>
      <c r="E17">
        <v>0</v>
      </c>
      <c r="F17">
        <v>0</v>
      </c>
      <c r="G17">
        <v>3</v>
      </c>
      <c r="H17">
        <v>13</v>
      </c>
      <c r="I17">
        <v>7</v>
      </c>
      <c r="J17">
        <v>7</v>
      </c>
    </row>
    <row r="18" spans="1:10" x14ac:dyDescent="0.25">
      <c r="A18" s="7"/>
      <c r="B18" t="s">
        <v>24</v>
      </c>
      <c r="C18" s="5"/>
      <c r="D18" s="3">
        <v>1.0119976357043803</v>
      </c>
      <c r="E18">
        <v>0</v>
      </c>
      <c r="F18">
        <v>0</v>
      </c>
      <c r="G18">
        <v>3</v>
      </c>
      <c r="H18">
        <v>13</v>
      </c>
      <c r="I18">
        <v>7</v>
      </c>
      <c r="J18">
        <v>7</v>
      </c>
    </row>
    <row r="19" spans="1:10" x14ac:dyDescent="0.25">
      <c r="A19" s="2" t="s">
        <v>2</v>
      </c>
      <c r="B19" s="2"/>
      <c r="C19" s="2"/>
      <c r="D19" s="2"/>
      <c r="E19" s="2">
        <f t="shared" ref="E19:J19" si="0">SUM(E4:E18)</f>
        <v>20</v>
      </c>
      <c r="F19" s="2">
        <f t="shared" si="0"/>
        <v>35</v>
      </c>
      <c r="G19" s="2">
        <f t="shared" si="0"/>
        <v>71</v>
      </c>
      <c r="H19" s="2">
        <f t="shared" si="0"/>
        <v>91</v>
      </c>
      <c r="I19" s="2">
        <f t="shared" si="0"/>
        <v>64</v>
      </c>
      <c r="J19" s="2">
        <f t="shared" si="0"/>
        <v>49</v>
      </c>
    </row>
    <row r="20" spans="1:10" x14ac:dyDescent="0.25">
      <c r="A20" s="2" t="s">
        <v>1</v>
      </c>
      <c r="B20" s="2"/>
      <c r="C20" s="2"/>
      <c r="D20" s="2"/>
      <c r="E20" s="2">
        <v>78</v>
      </c>
      <c r="F20" s="2">
        <v>78</v>
      </c>
      <c r="G20" s="2">
        <v>53</v>
      </c>
      <c r="H20" s="2">
        <v>73</v>
      </c>
      <c r="I20" s="2">
        <v>78</v>
      </c>
      <c r="J20" s="2">
        <v>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11"/>
  <sheetViews>
    <sheetView workbookViewId="0">
      <selection activeCell="L8" sqref="L8:AB8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4">
        <v>41183</v>
      </c>
      <c r="C1" s="4">
        <v>41214</v>
      </c>
      <c r="D1" s="4">
        <v>41244</v>
      </c>
      <c r="E1" s="4">
        <v>41275</v>
      </c>
      <c r="F1" s="4">
        <v>41306</v>
      </c>
      <c r="G1" s="4">
        <v>41334</v>
      </c>
      <c r="H1" s="4">
        <v>41365</v>
      </c>
      <c r="I1" s="4">
        <v>41395</v>
      </c>
      <c r="J1" s="4">
        <v>41426</v>
      </c>
      <c r="K1" s="4">
        <v>41456</v>
      </c>
      <c r="L1" s="4">
        <v>41487</v>
      </c>
      <c r="M1" s="4">
        <v>41518</v>
      </c>
      <c r="N1" s="4">
        <v>41548</v>
      </c>
      <c r="O1" s="4">
        <v>41579</v>
      </c>
      <c r="P1" s="4">
        <v>41609</v>
      </c>
      <c r="Q1" s="4">
        <v>41640</v>
      </c>
      <c r="R1" s="4">
        <v>41671</v>
      </c>
      <c r="S1" s="4">
        <v>41699</v>
      </c>
      <c r="T1" s="4">
        <v>41730</v>
      </c>
      <c r="U1" s="4">
        <v>41760</v>
      </c>
      <c r="V1" s="4">
        <v>41791</v>
      </c>
      <c r="W1" s="4">
        <v>41821</v>
      </c>
      <c r="X1" s="4">
        <v>41852</v>
      </c>
      <c r="Y1" s="4">
        <v>41883</v>
      </c>
      <c r="Z1" s="4">
        <v>41913</v>
      </c>
      <c r="AA1" s="4">
        <v>41944</v>
      </c>
      <c r="AB1" s="4">
        <v>41974</v>
      </c>
      <c r="AC1" s="4">
        <v>42005</v>
      </c>
      <c r="AD1" s="4">
        <v>42036</v>
      </c>
      <c r="AE1" s="4">
        <v>42064</v>
      </c>
      <c r="AF1" s="4">
        <v>42095</v>
      </c>
      <c r="AG1" s="4">
        <v>42125</v>
      </c>
      <c r="AH1" s="4">
        <v>42156</v>
      </c>
      <c r="AI1" s="4">
        <v>42186</v>
      </c>
      <c r="AJ1" s="4">
        <v>42217</v>
      </c>
      <c r="AK1" s="4">
        <v>42248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 x14ac:dyDescent="0.25">
      <c r="A2" t="s">
        <v>7</v>
      </c>
      <c r="L2">
        <v>10</v>
      </c>
      <c r="M2">
        <v>10</v>
      </c>
      <c r="N2">
        <v>10</v>
      </c>
      <c r="O2">
        <v>10</v>
      </c>
      <c r="P2">
        <v>5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79" x14ac:dyDescent="0.25">
      <c r="A3" t="s">
        <v>8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  <c r="W3">
        <v>10</v>
      </c>
      <c r="X3">
        <v>16</v>
      </c>
      <c r="Y3">
        <v>16</v>
      </c>
      <c r="Z3">
        <v>16</v>
      </c>
      <c r="AA3">
        <v>16</v>
      </c>
      <c r="AB3">
        <v>16</v>
      </c>
    </row>
    <row r="4" spans="1:79" x14ac:dyDescent="0.25">
      <c r="A4" t="s">
        <v>9</v>
      </c>
      <c r="L4">
        <v>16</v>
      </c>
      <c r="M4">
        <v>12</v>
      </c>
      <c r="N4">
        <v>16</v>
      </c>
      <c r="O4">
        <v>16</v>
      </c>
      <c r="P4">
        <v>12</v>
      </c>
      <c r="Q4">
        <v>16</v>
      </c>
      <c r="R4">
        <v>16</v>
      </c>
      <c r="S4">
        <v>10</v>
      </c>
      <c r="T4">
        <v>16</v>
      </c>
      <c r="U4">
        <v>16</v>
      </c>
      <c r="V4">
        <v>16</v>
      </c>
      <c r="W4">
        <v>16</v>
      </c>
      <c r="X4">
        <v>16</v>
      </c>
      <c r="Y4">
        <v>16</v>
      </c>
      <c r="Z4">
        <v>16</v>
      </c>
      <c r="AA4">
        <v>16</v>
      </c>
      <c r="AB4">
        <v>16</v>
      </c>
    </row>
    <row r="5" spans="1:79" x14ac:dyDescent="0.25">
      <c r="A5" t="s">
        <v>10</v>
      </c>
      <c r="L5">
        <v>16</v>
      </c>
      <c r="M5">
        <v>16</v>
      </c>
      <c r="N5">
        <v>16</v>
      </c>
      <c r="O5">
        <v>16</v>
      </c>
      <c r="P5">
        <v>10</v>
      </c>
      <c r="Q5">
        <v>16</v>
      </c>
      <c r="R5">
        <v>16</v>
      </c>
      <c r="S5">
        <v>16</v>
      </c>
      <c r="T5">
        <v>16</v>
      </c>
      <c r="U5">
        <v>16</v>
      </c>
      <c r="V5">
        <v>16</v>
      </c>
      <c r="W5">
        <v>16</v>
      </c>
      <c r="X5">
        <v>16</v>
      </c>
      <c r="Y5">
        <v>16</v>
      </c>
      <c r="Z5">
        <v>16</v>
      </c>
      <c r="AA5">
        <v>16</v>
      </c>
      <c r="AB5">
        <v>16</v>
      </c>
    </row>
    <row r="6" spans="1:79" x14ac:dyDescent="0.25">
      <c r="A6" t="s">
        <v>12</v>
      </c>
      <c r="L6">
        <v>10</v>
      </c>
      <c r="M6">
        <v>10</v>
      </c>
      <c r="N6">
        <v>10</v>
      </c>
      <c r="O6">
        <v>10</v>
      </c>
      <c r="P6">
        <v>5</v>
      </c>
      <c r="Q6">
        <v>5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79" x14ac:dyDescent="0.25">
      <c r="A7" t="s">
        <v>11</v>
      </c>
      <c r="L7">
        <v>10</v>
      </c>
      <c r="M7">
        <v>10</v>
      </c>
      <c r="N7">
        <v>10</v>
      </c>
      <c r="O7">
        <v>10</v>
      </c>
      <c r="P7">
        <v>5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</row>
    <row r="8" spans="1:79" x14ac:dyDescent="0.25">
      <c r="A8" t="s">
        <v>4</v>
      </c>
      <c r="B8">
        <f t="shared" ref="B8:K8" si="0">SUM(B2:B3)</f>
        <v>0</v>
      </c>
      <c r="C8">
        <f t="shared" si="0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ref="L8:AB8" si="1">SUM(L2:L7)</f>
        <v>78</v>
      </c>
      <c r="M8">
        <f t="shared" si="1"/>
        <v>74</v>
      </c>
      <c r="N8">
        <f t="shared" si="1"/>
        <v>78</v>
      </c>
      <c r="O8">
        <f t="shared" si="1"/>
        <v>78</v>
      </c>
      <c r="P8">
        <f t="shared" si="1"/>
        <v>53</v>
      </c>
      <c r="Q8">
        <f t="shared" si="1"/>
        <v>73</v>
      </c>
      <c r="R8">
        <f t="shared" si="1"/>
        <v>78</v>
      </c>
      <c r="S8">
        <f t="shared" si="1"/>
        <v>72</v>
      </c>
      <c r="T8">
        <f t="shared" si="1"/>
        <v>78</v>
      </c>
      <c r="U8">
        <f t="shared" si="1"/>
        <v>78</v>
      </c>
      <c r="V8">
        <f t="shared" si="1"/>
        <v>78</v>
      </c>
      <c r="W8">
        <f t="shared" si="1"/>
        <v>72</v>
      </c>
      <c r="X8">
        <f t="shared" si="1"/>
        <v>78</v>
      </c>
      <c r="Y8">
        <f t="shared" si="1"/>
        <v>78</v>
      </c>
      <c r="Z8">
        <f t="shared" si="1"/>
        <v>78</v>
      </c>
      <c r="AA8">
        <f t="shared" si="1"/>
        <v>78</v>
      </c>
      <c r="AB8">
        <f t="shared" si="1"/>
        <v>78</v>
      </c>
      <c r="AC8">
        <f t="shared" ref="AC8:AK8" si="2">SUM(AC2:AC3)</f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</row>
    <row r="10" spans="1:79" x14ac:dyDescent="0.25">
      <c r="A10" t="s">
        <v>5</v>
      </c>
      <c r="B10">
        <f>ROUND(SUM(L8:Q8)/6,-1)</f>
        <v>70</v>
      </c>
    </row>
    <row r="11" spans="1:79" x14ac:dyDescent="0.25">
      <c r="A11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2013-09-29T17:59:28Z</dcterms:modified>
</cp:coreProperties>
</file>